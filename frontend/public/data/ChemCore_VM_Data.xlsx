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Yash\Projects\excel-dashboard-devops\frontend\public\data\"/>
    </mc:Choice>
  </mc:AlternateContent>
  <xr:revisionPtr revIDLastSave="0" documentId="13_ncr:1_{DC7B8A64-8015-45A8-BF05-9D48CDC093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M_Overview" sheetId="1" r:id="rId1"/>
    <sheet name="Monitoring_Timeseries" sheetId="2" r:id="rId2"/>
    <sheet name="Security" sheetId="3" r:id="rId3"/>
    <sheet name="Governance" sheetId="4" r:id="rId4"/>
    <sheet name="Alerts_Inciden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4" l="1"/>
  <c r="I25" i="4" s="1"/>
  <c r="G24" i="4"/>
  <c r="I24" i="4" s="1"/>
  <c r="G23" i="4"/>
  <c r="I23" i="4" s="1"/>
</calcChain>
</file>

<file path=xl/sharedStrings.xml><?xml version="1.0" encoding="utf-8"?>
<sst xmlns="http://schemas.openxmlformats.org/spreadsheetml/2006/main" count="490" uniqueCount="219">
  <si>
    <t>ChemCore International - Azure VM Fleet Overview</t>
  </si>
  <si>
    <t>Nouryon IM Platform - Infrastructure Dashboard Data - May 2026</t>
  </si>
  <si>
    <t>VM Name</t>
  </si>
  <si>
    <t>Environment</t>
  </si>
  <si>
    <t>Role</t>
  </si>
  <si>
    <t>Region</t>
  </si>
  <si>
    <t>OS</t>
  </si>
  <si>
    <t>vCPUs</t>
  </si>
  <si>
    <t>RAM (GB)</t>
  </si>
  <si>
    <t>Disk (GB)</t>
  </si>
  <si>
    <t>Status</t>
  </si>
  <si>
    <t>Uptime (%)</t>
  </si>
  <si>
    <t>Owner</t>
  </si>
  <si>
    <t>Cost (USD/mo)</t>
  </si>
  <si>
    <t>chemcore-prod-web01</t>
  </si>
  <si>
    <t>Production</t>
  </si>
  <si>
    <t>Web Server</t>
  </si>
  <si>
    <t>West Europe</t>
  </si>
  <si>
    <t>Windows Server 2022</t>
  </si>
  <si>
    <t>Running</t>
  </si>
  <si>
    <t>ops-team@chemcore.com</t>
  </si>
  <si>
    <t>chemcore-prod-db01</t>
  </si>
  <si>
    <t>Database Server</t>
  </si>
  <si>
    <t>dba-team@chemcore.com</t>
  </si>
  <si>
    <t>chemcore-dev-app01</t>
  </si>
  <si>
    <t>Development</t>
  </si>
  <si>
    <t>Application Server</t>
  </si>
  <si>
    <t>North Europe</t>
  </si>
  <si>
    <t>Ubuntu 22.04 LTS</t>
  </si>
  <si>
    <t>dev-team@chemcore.com</t>
  </si>
  <si>
    <t>VM Performance Metrics - 7-Day Time Series</t>
  </si>
  <si>
    <t>Source: Azure Monitor - Period: 14 May 2026 to 21 May 2026</t>
  </si>
  <si>
    <t>Date</t>
  </si>
  <si>
    <t>CPU Usage (%)</t>
  </si>
  <si>
    <t>Memory Usage (%)</t>
  </si>
  <si>
    <t>Disk Read (MB/s)</t>
  </si>
  <si>
    <t>Disk Write (MB/s)</t>
  </si>
  <si>
    <t>Network In (Mbps)</t>
  </si>
  <si>
    <t>Network Out (Mbps)</t>
  </si>
  <si>
    <t>IOPS</t>
  </si>
  <si>
    <t>Latency (ms)</t>
  </si>
  <si>
    <t>Alert Fired</t>
  </si>
  <si>
    <t>14 May 00:00</t>
  </si>
  <si>
    <t>14 May 08:00</t>
  </si>
  <si>
    <t>14 May 16:00</t>
  </si>
  <si>
    <t>15 May 00:00</t>
  </si>
  <si>
    <t>15 May 08:00</t>
  </si>
  <si>
    <t>15 May 16:00</t>
  </si>
  <si>
    <t>16 May 00:00</t>
  </si>
  <si>
    <t>16 May 08:00</t>
  </si>
  <si>
    <t>16 May 16:00</t>
  </si>
  <si>
    <t>YES</t>
  </si>
  <si>
    <t>17 May 00:00</t>
  </si>
  <si>
    <t>17 May 08:00</t>
  </si>
  <si>
    <t>17 May 16:00</t>
  </si>
  <si>
    <t>18 May 00:00</t>
  </si>
  <si>
    <t>18 May 08:00</t>
  </si>
  <si>
    <t>18 May 16:00</t>
  </si>
  <si>
    <t>19 May 00:00</t>
  </si>
  <si>
    <t>19 May 08:00</t>
  </si>
  <si>
    <t>19 May 16:00</t>
  </si>
  <si>
    <t>20 May 00:00</t>
  </si>
  <si>
    <t>20 May 08:00</t>
  </si>
  <si>
    <t>20 May 16:00</t>
  </si>
  <si>
    <t>21 May 00:00</t>
  </si>
  <si>
    <t>21 May 08:00</t>
  </si>
  <si>
    <t>21 May 16:00</t>
  </si>
  <si>
    <t>Security Assessment - VM Fleet</t>
  </si>
  <si>
    <t>Defender for Cloud Secure Score</t>
  </si>
  <si>
    <t>Secure Score (%)</t>
  </si>
  <si>
    <t>Critical</t>
  </si>
  <si>
    <t>High</t>
  </si>
  <si>
    <t>Medium</t>
  </si>
  <si>
    <t>Low</t>
  </si>
  <si>
    <t>Resolved</t>
  </si>
  <si>
    <t>OS Patch Status</t>
  </si>
  <si>
    <t>Last Scan</t>
  </si>
  <si>
    <t>MFA Enforced</t>
  </si>
  <si>
    <t>Compliant</t>
  </si>
  <si>
    <t>20 May 2026</t>
  </si>
  <si>
    <t>Yes</t>
  </si>
  <si>
    <t>Patch Needed</t>
  </si>
  <si>
    <t>18 May 2026</t>
  </si>
  <si>
    <t>21 May 2026</t>
  </si>
  <si>
    <t>No</t>
  </si>
  <si>
    <t>Network Security Group Rules Audit</t>
  </si>
  <si>
    <t>Rule Name</t>
  </si>
  <si>
    <t>Direction</t>
  </si>
  <si>
    <t>Protocol</t>
  </si>
  <si>
    <t>Port</t>
  </si>
  <si>
    <t>Source</t>
  </si>
  <si>
    <t>Action</t>
  </si>
  <si>
    <t>Priority</t>
  </si>
  <si>
    <t>Risk</t>
  </si>
  <si>
    <t>Allow-HTTPS-In</t>
  </si>
  <si>
    <t>Inbound</t>
  </si>
  <si>
    <t>TCP</t>
  </si>
  <si>
    <t>443</t>
  </si>
  <si>
    <t>Internet</t>
  </si>
  <si>
    <t>Allow</t>
  </si>
  <si>
    <t>Active</t>
  </si>
  <si>
    <t>Allow-HTTP-In</t>
  </si>
  <si>
    <t>80</t>
  </si>
  <si>
    <t>Deny-All-Inbound</t>
  </si>
  <si>
    <t>Any</t>
  </si>
  <si>
    <t>Deny</t>
  </si>
  <si>
    <t>Allow-SQL-App</t>
  </si>
  <si>
    <t>1433</t>
  </si>
  <si>
    <t>10.0.1.0/24</t>
  </si>
  <si>
    <t>Block-RDP-Public</t>
  </si>
  <si>
    <t>3389</t>
  </si>
  <si>
    <t>Allow-Monitor</t>
  </si>
  <si>
    <t>5986</t>
  </si>
  <si>
    <t>10.0.0.5</t>
  </si>
  <si>
    <t>Allow-SSH</t>
  </si>
  <si>
    <t>22</t>
  </si>
  <si>
    <t>10.0.0.0/8</t>
  </si>
  <si>
    <t>Allow-8080</t>
  </si>
  <si>
    <t>8080</t>
  </si>
  <si>
    <t>VirtualNetwork</t>
  </si>
  <si>
    <t>Governance &amp; Compliance - VM Fleet</t>
  </si>
  <si>
    <t>Tag Compliance Report</t>
  </si>
  <si>
    <t>CostCenter</t>
  </si>
  <si>
    <t>Project</t>
  </si>
  <si>
    <t>Application</t>
  </si>
  <si>
    <t>Criticality</t>
  </si>
  <si>
    <t>DR Tier</t>
  </si>
  <si>
    <t>Tag Score</t>
  </si>
  <si>
    <t>CC-OPS-001</t>
  </si>
  <si>
    <t>ChemCore-Portal</t>
  </si>
  <si>
    <t>WebFrontend</t>
  </si>
  <si>
    <t>Tier-2</t>
  </si>
  <si>
    <t>100%</t>
  </si>
  <si>
    <t>CC-DBA-002</t>
  </si>
  <si>
    <t>CoreDatabase</t>
  </si>
  <si>
    <t>Tier-1</t>
  </si>
  <si>
    <t>CC-DEV-003</t>
  </si>
  <si>
    <t>ChemCore-Dev</t>
  </si>
  <si>
    <t>AppService</t>
  </si>
  <si>
    <t>Tier-3</t>
  </si>
  <si>
    <t>89%</t>
  </si>
  <si>
    <t>Azure Policy Assignment Compliance</t>
  </si>
  <si>
    <t>Policy Name</t>
  </si>
  <si>
    <t>Scope</t>
  </si>
  <si>
    <t>Assignment</t>
  </si>
  <si>
    <t>web01</t>
  </si>
  <si>
    <t>db01</t>
  </si>
  <si>
    <t>app01</t>
  </si>
  <si>
    <t>Total VMs</t>
  </si>
  <si>
    <t>Non-Compliant</t>
  </si>
  <si>
    <t>Require HTTPS on VMs</t>
  </si>
  <si>
    <t>Subscription</t>
  </si>
  <si>
    <t>Mandatory</t>
  </si>
  <si>
    <t>Y</t>
  </si>
  <si>
    <t>Enable Defender for Cloud</t>
  </si>
  <si>
    <t>Restrict Public IP</t>
  </si>
  <si>
    <t>Resource Group</t>
  </si>
  <si>
    <t>N</t>
  </si>
  <si>
    <t>Disk Encryption Required</t>
  </si>
  <si>
    <t>Log Analytics Workspace</t>
  </si>
  <si>
    <t>Patch Assessment Mode</t>
  </si>
  <si>
    <t>Recommended</t>
  </si>
  <si>
    <t>Backup Policy Assigned</t>
  </si>
  <si>
    <t>Allowed VM SKUs</t>
  </si>
  <si>
    <t>Cost Allocation (May 2026)</t>
  </si>
  <si>
    <t>Compute</t>
  </si>
  <si>
    <t>Storage</t>
  </si>
  <si>
    <t>Networking</t>
  </si>
  <si>
    <t>Backup</t>
  </si>
  <si>
    <t>Monitoring</t>
  </si>
  <si>
    <t>Total</t>
  </si>
  <si>
    <t>Budget</t>
  </si>
  <si>
    <t>Variance</t>
  </si>
  <si>
    <t>Alerts &amp; Incidents Log - Last 30 Days</t>
  </si>
  <si>
    <t>Alert Type</t>
  </si>
  <si>
    <t>Severity</t>
  </si>
  <si>
    <t>Description</t>
  </si>
  <si>
    <t>Duration</t>
  </si>
  <si>
    <t>Resolved By</t>
  </si>
  <si>
    <t>High CPU</t>
  </si>
  <si>
    <t>CPU sustained above 95% for 15 min</t>
  </si>
  <si>
    <t>22 min</t>
  </si>
  <si>
    <t>Auto-scale triggered</t>
  </si>
  <si>
    <t>SSL Cert Expiry</t>
  </si>
  <si>
    <t>SSL certificate expiring in 14 days</t>
  </si>
  <si>
    <t>N/A</t>
  </si>
  <si>
    <t>Pending renewal</t>
  </si>
  <si>
    <t>19 May 2026</t>
  </si>
  <si>
    <t>Disk Space</t>
  </si>
  <si>
    <t>Disk usage at 87% on /var</t>
  </si>
  <si>
    <t>4 hrs</t>
  </si>
  <si>
    <t>Dev team - cleaned logs</t>
  </si>
  <si>
    <t>Failed Login</t>
  </si>
  <si>
    <t>5 consecutive failed RDP attempts blocked</t>
  </si>
  <si>
    <t>Instant</t>
  </si>
  <si>
    <t>NSG rule enforced</t>
  </si>
  <si>
    <t>17 May 2026</t>
  </si>
  <si>
    <t>CPU above 80% during peak traffic</t>
  </si>
  <si>
    <t>45 min</t>
  </si>
  <si>
    <t>Traffic normalized</t>
  </si>
  <si>
    <t>16 May 2026</t>
  </si>
  <si>
    <t>Memory Pressure</t>
  </si>
  <si>
    <t>Memory usage at 92%, paging detected</t>
  </si>
  <si>
    <t>1.5 hrs</t>
  </si>
  <si>
    <t>Query optimized</t>
  </si>
  <si>
    <t>15 May 2026</t>
  </si>
  <si>
    <t>Service Restart</t>
  </si>
  <si>
    <t>App service restarted unexpectedly</t>
  </si>
  <si>
    <t>8 min</t>
  </si>
  <si>
    <t>Hotfix deployed</t>
  </si>
  <si>
    <t>14 May 2026</t>
  </si>
  <si>
    <t>Network Spike</t>
  </si>
  <si>
    <t>Inbound traffic 3x normal baseline</t>
  </si>
  <si>
    <t>2 hrs</t>
  </si>
  <si>
    <t>DDoS mitigation applied</t>
  </si>
  <si>
    <t>vm-snoozed</t>
  </si>
  <si>
    <t>vm-running</t>
  </si>
  <si>
    <t>LVM001</t>
  </si>
  <si>
    <t>Stopped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</si>
</sst>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;\(&quot;$&quot;#,##0\);&quot;-&quot;"/>
  </numFmts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9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1EA03C"/>
      <name val="Arial"/>
    </font>
    <font>
      <b/>
      <sz val="12"/>
      <color rgb="FFFFFFFF"/>
      <name val="Arial"/>
    </font>
    <font>
      <sz val="9"/>
      <color rgb="FF575756"/>
      <name val="Arial"/>
    </font>
    <font>
      <b/>
      <sz val="9"/>
      <color rgb="FFFFFFFF"/>
      <name val="Arial"/>
    </font>
    <font>
      <b/>
      <sz val="10"/>
      <color rgb="FFBE0032"/>
      <name val="Arial"/>
    </font>
    <font>
      <b/>
      <sz val="11"/>
      <color rgb="FF1A4780"/>
      <name val="Arial"/>
    </font>
    <font>
      <b/>
      <sz val="10"/>
      <color rgb="FFFF5300"/>
      <name val="Arial"/>
    </font>
    <font>
      <sz val="10"/>
      <color rgb="FF1EA03C"/>
      <name val="Arial"/>
    </font>
    <font>
      <b/>
      <sz val="10"/>
      <name val="Arial"/>
    </font>
    <font>
      <b/>
      <sz val="10"/>
      <color rgb="FFB8860B"/>
      <name val="Arial"/>
    </font>
    <font>
      <b/>
      <sz val="10"/>
      <color rgb="FF575756"/>
      <name val="Arial"/>
    </font>
  </fonts>
  <fills count="6">
    <fill>
      <patternFill patternType="none"/>
    </fill>
    <fill>
      <patternFill patternType="gray125"/>
    </fill>
    <fill>
      <patternFill patternType="solid">
        <fgColor rgb="FF1A4780"/>
      </patternFill>
    </fill>
    <fill>
      <patternFill patternType="solid">
        <fgColor rgb="FF2D5A8F"/>
      </patternFill>
    </fill>
    <fill>
      <patternFill patternType="solid">
        <fgColor rgb="FFFFFFFF"/>
      </patternFill>
    </fill>
    <fill>
      <patternFill patternType="solid">
        <fgColor rgb="FFE8EFF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0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9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9" fontId="5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64" fontId="13" fillId="4" borderId="1" xfId="0" applyNumberFormat="1" applyFont="1" applyFill="1" applyBorder="1" applyAlignment="1">
      <alignment horizontal="right" vertical="center"/>
    </xf>
    <xf numFmtId="165" fontId="13" fillId="4" borderId="1" xfId="0" applyNumberFormat="1" applyFont="1" applyFill="1" applyBorder="1" applyAlignment="1">
      <alignment horizontal="right" vertical="center"/>
    </xf>
    <xf numFmtId="164" fontId="13" fillId="5" borderId="1" xfId="0" applyNumberFormat="1" applyFont="1" applyFill="1" applyBorder="1" applyAlignment="1">
      <alignment horizontal="right" vertical="center"/>
    </xf>
    <xf numFmtId="165" fontId="13" fillId="5" borderId="1" xfId="0" applyNumberFormat="1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showGridLines="0" tabSelected="1" workbookViewId="0">
      <selection activeCell="I7" sqref="I7"/>
    </sheetView>
  </sheetViews>
  <sheetFormatPr defaultRowHeight="14.5" x14ac:dyDescent="0.35"/>
  <cols>
    <col min="1" max="1" width="26" customWidth="1"/>
    <col min="2" max="2" width="14" customWidth="1"/>
    <col min="3" max="3" width="20" customWidth="1"/>
    <col min="4" max="4" width="15" customWidth="1"/>
    <col min="5" max="5" width="22" customWidth="1"/>
    <col min="6" max="6" width="8" customWidth="1"/>
    <col min="7" max="9" width="10" customWidth="1"/>
    <col min="10" max="10" width="11" customWidth="1"/>
    <col min="11" max="11" width="28" customWidth="1"/>
    <col min="12" max="12" width="14" customWidth="1"/>
  </cols>
  <sheetData>
    <row r="1" spans="1:12" ht="32" customHeight="1" x14ac:dyDescent="0.35">
      <c r="A1" s="31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20" customHeight="1" x14ac:dyDescent="0.3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4" spans="1:12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20" customHeight="1" x14ac:dyDescent="0.35">
      <c r="A5" s="2" t="s">
        <v>216</v>
      </c>
      <c r="B5" s="2" t="s">
        <v>15</v>
      </c>
      <c r="C5" s="2" t="s">
        <v>16</v>
      </c>
      <c r="D5" s="2" t="s">
        <v>17</v>
      </c>
      <c r="E5" s="3" t="s">
        <v>18</v>
      </c>
      <c r="F5" s="3">
        <v>4</v>
      </c>
      <c r="G5" s="3">
        <v>16</v>
      </c>
      <c r="H5" s="3">
        <v>256</v>
      </c>
      <c r="I5" s="4" t="s">
        <v>19</v>
      </c>
      <c r="J5" s="5">
        <v>0.99970000000000003</v>
      </c>
      <c r="K5" s="3" t="s">
        <v>20</v>
      </c>
      <c r="L5" s="6">
        <v>318</v>
      </c>
    </row>
    <row r="6" spans="1:12" ht="20" customHeight="1" x14ac:dyDescent="0.35">
      <c r="A6" s="7" t="s">
        <v>215</v>
      </c>
      <c r="B6" s="7" t="s">
        <v>15</v>
      </c>
      <c r="C6" s="7" t="s">
        <v>22</v>
      </c>
      <c r="D6" s="7" t="s">
        <v>17</v>
      </c>
      <c r="E6" s="8" t="s">
        <v>18</v>
      </c>
      <c r="F6" s="8">
        <v>8</v>
      </c>
      <c r="G6" s="8">
        <v>32</v>
      </c>
      <c r="H6" s="8">
        <v>1024</v>
      </c>
      <c r="I6" s="9" t="s">
        <v>218</v>
      </c>
      <c r="J6" s="10">
        <v>0.99950000000000006</v>
      </c>
      <c r="K6" s="8" t="s">
        <v>23</v>
      </c>
      <c r="L6" s="11">
        <v>712</v>
      </c>
    </row>
    <row r="7" spans="1:12" ht="20" customHeight="1" x14ac:dyDescent="0.35">
      <c r="A7" s="2" t="s">
        <v>217</v>
      </c>
      <c r="B7" s="2" t="s">
        <v>25</v>
      </c>
      <c r="C7" s="2" t="s">
        <v>26</v>
      </c>
      <c r="D7" s="2" t="s">
        <v>27</v>
      </c>
      <c r="E7" s="3" t="s">
        <v>28</v>
      </c>
      <c r="F7" s="3">
        <v>2</v>
      </c>
      <c r="G7" s="3">
        <v>8</v>
      </c>
      <c r="H7" s="3">
        <v>128</v>
      </c>
      <c r="I7" s="4" t="s">
        <v>19</v>
      </c>
      <c r="J7" s="5">
        <v>0.98819999999999997</v>
      </c>
      <c r="K7" s="3" t="s">
        <v>29</v>
      </c>
      <c r="L7" s="6">
        <v>142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6"/>
  <sheetViews>
    <sheetView showGridLines="0" workbookViewId="0"/>
  </sheetViews>
  <sheetFormatPr defaultRowHeight="14.5" x14ac:dyDescent="0.35"/>
  <cols>
    <col min="1" max="1" width="20" customWidth="1"/>
    <col min="2" max="2" width="26" customWidth="1"/>
    <col min="3" max="4" width="14" customWidth="1"/>
    <col min="5" max="6" width="15" customWidth="1"/>
    <col min="7" max="8" width="16" customWidth="1"/>
    <col min="9" max="9" width="10" customWidth="1"/>
    <col min="10" max="10" width="12" customWidth="1"/>
    <col min="11" max="11" width="11" customWidth="1"/>
  </cols>
  <sheetData>
    <row r="1" spans="1:11" ht="30" customHeight="1" x14ac:dyDescent="0.35">
      <c r="A1" s="33" t="s">
        <v>30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x14ac:dyDescent="0.35">
      <c r="A2" s="32" t="s">
        <v>31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4" spans="1:11" ht="23" x14ac:dyDescent="0.35">
      <c r="A4" s="12" t="s">
        <v>32</v>
      </c>
      <c r="B4" s="12" t="s">
        <v>2</v>
      </c>
      <c r="C4" s="12" t="s">
        <v>33</v>
      </c>
      <c r="D4" s="12" t="s">
        <v>34</v>
      </c>
      <c r="E4" s="12" t="s">
        <v>35</v>
      </c>
      <c r="F4" s="12" t="s">
        <v>36</v>
      </c>
      <c r="G4" s="12" t="s">
        <v>37</v>
      </c>
      <c r="H4" s="12" t="s">
        <v>38</v>
      </c>
      <c r="I4" s="12" t="s">
        <v>39</v>
      </c>
      <c r="J4" s="12" t="s">
        <v>40</v>
      </c>
      <c r="K4" s="12" t="s">
        <v>41</v>
      </c>
    </row>
    <row r="5" spans="1:11" x14ac:dyDescent="0.35">
      <c r="A5" s="2" t="s">
        <v>42</v>
      </c>
      <c r="B5" s="3" t="s">
        <v>14</v>
      </c>
      <c r="C5" s="3">
        <v>34.200000000000003</v>
      </c>
      <c r="D5" s="3">
        <v>70.3</v>
      </c>
      <c r="E5" s="3">
        <v>5.15</v>
      </c>
      <c r="F5" s="3">
        <v>3.5</v>
      </c>
      <c r="G5" s="3">
        <v>28.9</v>
      </c>
      <c r="H5" s="3">
        <v>0</v>
      </c>
      <c r="I5" s="3">
        <v>661</v>
      </c>
      <c r="J5" s="3">
        <v>1.89</v>
      </c>
      <c r="K5" s="3"/>
    </row>
    <row r="6" spans="1:11" x14ac:dyDescent="0.35">
      <c r="A6" s="7" t="s">
        <v>43</v>
      </c>
      <c r="B6" s="8" t="s">
        <v>14</v>
      </c>
      <c r="C6" s="8">
        <v>45.7</v>
      </c>
      <c r="D6" s="8">
        <v>73.2</v>
      </c>
      <c r="E6" s="8">
        <v>8.5299999999999994</v>
      </c>
      <c r="F6" s="8">
        <v>5.18</v>
      </c>
      <c r="G6" s="8">
        <v>55.9</v>
      </c>
      <c r="H6" s="8">
        <v>30.2</v>
      </c>
      <c r="I6" s="8">
        <v>659</v>
      </c>
      <c r="J6" s="8">
        <v>1.29</v>
      </c>
      <c r="K6" s="8"/>
    </row>
    <row r="7" spans="1:11" x14ac:dyDescent="0.35">
      <c r="A7" s="2" t="s">
        <v>44</v>
      </c>
      <c r="B7" s="3" t="s">
        <v>14</v>
      </c>
      <c r="C7" s="3">
        <v>73.400000000000006</v>
      </c>
      <c r="D7" s="3">
        <v>85.1</v>
      </c>
      <c r="E7" s="3">
        <v>9.77</v>
      </c>
      <c r="F7" s="3">
        <v>3.39</v>
      </c>
      <c r="G7" s="3">
        <v>64.599999999999994</v>
      </c>
      <c r="H7" s="3">
        <v>14.2</v>
      </c>
      <c r="I7" s="3">
        <v>957</v>
      </c>
      <c r="J7" s="3">
        <v>2.4900000000000002</v>
      </c>
      <c r="K7" s="3"/>
    </row>
    <row r="8" spans="1:11" x14ac:dyDescent="0.35">
      <c r="A8" s="7" t="s">
        <v>45</v>
      </c>
      <c r="B8" s="8" t="s">
        <v>14</v>
      </c>
      <c r="C8" s="8">
        <v>64.7</v>
      </c>
      <c r="D8" s="8">
        <v>69.599999999999994</v>
      </c>
      <c r="E8" s="8">
        <v>7.11</v>
      </c>
      <c r="F8" s="8">
        <v>2.6</v>
      </c>
      <c r="G8" s="8">
        <v>47.1</v>
      </c>
      <c r="H8" s="8">
        <v>4.3</v>
      </c>
      <c r="I8" s="8">
        <v>708</v>
      </c>
      <c r="J8" s="8">
        <v>0.89</v>
      </c>
      <c r="K8" s="8"/>
    </row>
    <row r="9" spans="1:11" x14ac:dyDescent="0.35">
      <c r="A9" s="2" t="s">
        <v>46</v>
      </c>
      <c r="B9" s="3" t="s">
        <v>14</v>
      </c>
      <c r="C9" s="3">
        <v>5</v>
      </c>
      <c r="D9" s="3">
        <v>65.900000000000006</v>
      </c>
      <c r="E9" s="3">
        <v>3.94</v>
      </c>
      <c r="F9" s="3">
        <v>4.5999999999999996</v>
      </c>
      <c r="G9" s="3">
        <v>56</v>
      </c>
      <c r="H9" s="3">
        <v>10.199999999999999</v>
      </c>
      <c r="I9" s="3">
        <v>976</v>
      </c>
      <c r="J9" s="3">
        <v>1.3</v>
      </c>
      <c r="K9" s="3"/>
    </row>
    <row r="10" spans="1:11" x14ac:dyDescent="0.35">
      <c r="A10" s="7" t="s">
        <v>47</v>
      </c>
      <c r="B10" s="8" t="s">
        <v>14</v>
      </c>
      <c r="C10" s="8">
        <v>63.4</v>
      </c>
      <c r="D10" s="8">
        <v>69.099999999999994</v>
      </c>
      <c r="E10" s="8">
        <v>10.06</v>
      </c>
      <c r="F10" s="8">
        <v>5.24</v>
      </c>
      <c r="G10" s="8">
        <v>66.8</v>
      </c>
      <c r="H10" s="8">
        <v>41.2</v>
      </c>
      <c r="I10" s="8">
        <v>1149</v>
      </c>
      <c r="J10" s="8">
        <v>2.48</v>
      </c>
      <c r="K10" s="8"/>
    </row>
    <row r="11" spans="1:11" x14ac:dyDescent="0.35">
      <c r="A11" s="2" t="s">
        <v>48</v>
      </c>
      <c r="B11" s="3" t="s">
        <v>14</v>
      </c>
      <c r="C11" s="3">
        <v>19.7</v>
      </c>
      <c r="D11" s="3">
        <v>64.8</v>
      </c>
      <c r="E11" s="3">
        <v>3.72</v>
      </c>
      <c r="F11" s="3">
        <v>3.1</v>
      </c>
      <c r="G11" s="3">
        <v>26.5</v>
      </c>
      <c r="H11" s="3">
        <v>56</v>
      </c>
      <c r="I11" s="3">
        <v>431</v>
      </c>
      <c r="J11" s="3">
        <v>1.22</v>
      </c>
      <c r="K11" s="3"/>
    </row>
    <row r="12" spans="1:11" x14ac:dyDescent="0.35">
      <c r="A12" s="7" t="s">
        <v>49</v>
      </c>
      <c r="B12" s="8" t="s">
        <v>14</v>
      </c>
      <c r="C12" s="8">
        <v>75.3</v>
      </c>
      <c r="D12" s="8">
        <v>86.2</v>
      </c>
      <c r="E12" s="8">
        <v>9.6199999999999992</v>
      </c>
      <c r="F12" s="8">
        <v>4.5199999999999996</v>
      </c>
      <c r="G12" s="8">
        <v>71.3</v>
      </c>
      <c r="H12" s="8">
        <v>27.1</v>
      </c>
      <c r="I12" s="8">
        <v>522</v>
      </c>
      <c r="J12" s="8">
        <v>1.67</v>
      </c>
      <c r="K12" s="8"/>
    </row>
    <row r="13" spans="1:11" x14ac:dyDescent="0.35">
      <c r="A13" s="2" t="s">
        <v>50</v>
      </c>
      <c r="B13" s="3" t="s">
        <v>14</v>
      </c>
      <c r="C13" s="3">
        <v>94.6</v>
      </c>
      <c r="D13" s="3">
        <v>57.6</v>
      </c>
      <c r="E13" s="3">
        <v>9.73</v>
      </c>
      <c r="F13" s="3">
        <v>4.1100000000000003</v>
      </c>
      <c r="G13" s="3">
        <v>47.7</v>
      </c>
      <c r="H13" s="3">
        <v>46.9</v>
      </c>
      <c r="I13" s="3">
        <v>1136</v>
      </c>
      <c r="J13" s="3">
        <v>3.96</v>
      </c>
      <c r="K13" s="13" t="s">
        <v>51</v>
      </c>
    </row>
    <row r="14" spans="1:11" x14ac:dyDescent="0.35">
      <c r="A14" s="7" t="s">
        <v>52</v>
      </c>
      <c r="B14" s="8" t="s">
        <v>14</v>
      </c>
      <c r="C14" s="8">
        <v>57.1</v>
      </c>
      <c r="D14" s="8">
        <v>65.900000000000006</v>
      </c>
      <c r="E14" s="8">
        <v>3.35</v>
      </c>
      <c r="F14" s="8">
        <v>0.44</v>
      </c>
      <c r="G14" s="8">
        <v>50.5</v>
      </c>
      <c r="H14" s="8">
        <v>12.5</v>
      </c>
      <c r="I14" s="8">
        <v>580</v>
      </c>
      <c r="J14" s="8">
        <v>2.7</v>
      </c>
      <c r="K14" s="8"/>
    </row>
    <row r="15" spans="1:11" x14ac:dyDescent="0.35">
      <c r="A15" s="2" t="s">
        <v>53</v>
      </c>
      <c r="B15" s="3" t="s">
        <v>14</v>
      </c>
      <c r="C15" s="3">
        <v>30.5</v>
      </c>
      <c r="D15" s="3">
        <v>69.099999999999994</v>
      </c>
      <c r="E15" s="3">
        <v>0.23</v>
      </c>
      <c r="F15" s="3">
        <v>0.69</v>
      </c>
      <c r="G15" s="3">
        <v>31.4</v>
      </c>
      <c r="H15" s="3">
        <v>34.700000000000003</v>
      </c>
      <c r="I15" s="3">
        <v>1046</v>
      </c>
      <c r="J15" s="3">
        <v>2.09</v>
      </c>
      <c r="K15" s="3"/>
    </row>
    <row r="16" spans="1:11" x14ac:dyDescent="0.35">
      <c r="A16" s="7" t="s">
        <v>54</v>
      </c>
      <c r="B16" s="8" t="s">
        <v>14</v>
      </c>
      <c r="C16" s="8">
        <v>73.8</v>
      </c>
      <c r="D16" s="8">
        <v>73.7</v>
      </c>
      <c r="E16" s="8">
        <v>13.94</v>
      </c>
      <c r="F16" s="8">
        <v>5.39</v>
      </c>
      <c r="G16" s="8">
        <v>59.5</v>
      </c>
      <c r="H16" s="8">
        <v>20.8</v>
      </c>
      <c r="I16" s="8">
        <v>1200</v>
      </c>
      <c r="J16" s="8">
        <v>2.4</v>
      </c>
      <c r="K16" s="8"/>
    </row>
    <row r="17" spans="1:11" x14ac:dyDescent="0.35">
      <c r="A17" s="2" t="s">
        <v>55</v>
      </c>
      <c r="B17" s="3" t="s">
        <v>14</v>
      </c>
      <c r="C17" s="3">
        <v>75.3</v>
      </c>
      <c r="D17" s="3">
        <v>71.7</v>
      </c>
      <c r="E17" s="3">
        <v>13.41</v>
      </c>
      <c r="F17" s="3">
        <v>1.38</v>
      </c>
      <c r="G17" s="3">
        <v>63.4</v>
      </c>
      <c r="H17" s="3">
        <v>22.7</v>
      </c>
      <c r="I17" s="3">
        <v>491</v>
      </c>
      <c r="J17" s="3">
        <v>1.2</v>
      </c>
      <c r="K17" s="3"/>
    </row>
    <row r="18" spans="1:11" x14ac:dyDescent="0.35">
      <c r="A18" s="7" t="s">
        <v>56</v>
      </c>
      <c r="B18" s="8" t="s">
        <v>14</v>
      </c>
      <c r="C18" s="8">
        <v>47.7</v>
      </c>
      <c r="D18" s="8">
        <v>86.2</v>
      </c>
      <c r="E18" s="8">
        <v>10.87</v>
      </c>
      <c r="F18" s="8">
        <v>4.2300000000000004</v>
      </c>
      <c r="G18" s="8">
        <v>0</v>
      </c>
      <c r="H18" s="8">
        <v>39.200000000000003</v>
      </c>
      <c r="I18" s="8">
        <v>918</v>
      </c>
      <c r="J18" s="8">
        <v>1.66</v>
      </c>
      <c r="K18" s="8"/>
    </row>
    <row r="19" spans="1:11" x14ac:dyDescent="0.35">
      <c r="A19" s="2" t="s">
        <v>57</v>
      </c>
      <c r="B19" s="3" t="s">
        <v>14</v>
      </c>
      <c r="C19" s="3">
        <v>47.2</v>
      </c>
      <c r="D19" s="3">
        <v>72</v>
      </c>
      <c r="E19" s="3">
        <v>16.5</v>
      </c>
      <c r="F19" s="3">
        <v>1.49</v>
      </c>
      <c r="G19" s="3">
        <v>45.4</v>
      </c>
      <c r="H19" s="3">
        <v>56.4</v>
      </c>
      <c r="I19" s="3">
        <v>930</v>
      </c>
      <c r="J19" s="3">
        <v>1.81</v>
      </c>
      <c r="K19" s="3"/>
    </row>
    <row r="20" spans="1:11" x14ac:dyDescent="0.35">
      <c r="A20" s="7" t="s">
        <v>58</v>
      </c>
      <c r="B20" s="8" t="s">
        <v>14</v>
      </c>
      <c r="C20" s="8">
        <v>41.4</v>
      </c>
      <c r="D20" s="8">
        <v>59.6</v>
      </c>
      <c r="E20" s="8">
        <v>6.48</v>
      </c>
      <c r="F20" s="8">
        <v>0</v>
      </c>
      <c r="G20" s="8">
        <v>49.2</v>
      </c>
      <c r="H20" s="8">
        <v>21</v>
      </c>
      <c r="I20" s="8">
        <v>1051</v>
      </c>
      <c r="J20" s="8">
        <v>2.3199999999999998</v>
      </c>
      <c r="K20" s="8"/>
    </row>
    <row r="21" spans="1:11" x14ac:dyDescent="0.35">
      <c r="A21" s="2" t="s">
        <v>59</v>
      </c>
      <c r="B21" s="3" t="s">
        <v>14</v>
      </c>
      <c r="C21" s="3">
        <v>93.2</v>
      </c>
      <c r="D21" s="3">
        <v>59</v>
      </c>
      <c r="E21" s="3">
        <v>7.11</v>
      </c>
      <c r="F21" s="3">
        <v>3.5</v>
      </c>
      <c r="G21" s="3">
        <v>77.7</v>
      </c>
      <c r="H21" s="3">
        <v>3.3</v>
      </c>
      <c r="I21" s="3">
        <v>1005</v>
      </c>
      <c r="J21" s="3">
        <v>2.57</v>
      </c>
      <c r="K21" s="13" t="s">
        <v>51</v>
      </c>
    </row>
    <row r="22" spans="1:11" x14ac:dyDescent="0.35">
      <c r="A22" s="7" t="s">
        <v>60</v>
      </c>
      <c r="B22" s="8" t="s">
        <v>14</v>
      </c>
      <c r="C22" s="8">
        <v>99</v>
      </c>
      <c r="D22" s="8">
        <v>79.099999999999994</v>
      </c>
      <c r="E22" s="8">
        <v>9.81</v>
      </c>
      <c r="F22" s="8">
        <v>2.56</v>
      </c>
      <c r="G22" s="8">
        <v>29</v>
      </c>
      <c r="H22" s="8">
        <v>38.9</v>
      </c>
      <c r="I22" s="8">
        <v>981</v>
      </c>
      <c r="J22" s="8">
        <v>3.72</v>
      </c>
      <c r="K22" s="14" t="s">
        <v>51</v>
      </c>
    </row>
    <row r="23" spans="1:11" x14ac:dyDescent="0.35">
      <c r="A23" s="2" t="s">
        <v>61</v>
      </c>
      <c r="B23" s="3" t="s">
        <v>14</v>
      </c>
      <c r="C23" s="3">
        <v>20.2</v>
      </c>
      <c r="D23" s="3">
        <v>75.2</v>
      </c>
      <c r="E23" s="3">
        <v>0</v>
      </c>
      <c r="F23" s="3">
        <v>1.31</v>
      </c>
      <c r="G23" s="3">
        <v>36.700000000000003</v>
      </c>
      <c r="H23" s="3">
        <v>33.4</v>
      </c>
      <c r="I23" s="3">
        <v>884</v>
      </c>
      <c r="J23" s="3">
        <v>2.06</v>
      </c>
      <c r="K23" s="3"/>
    </row>
    <row r="24" spans="1:11" x14ac:dyDescent="0.35">
      <c r="A24" s="7" t="s">
        <v>62</v>
      </c>
      <c r="B24" s="8" t="s">
        <v>14</v>
      </c>
      <c r="C24" s="8">
        <v>18.7</v>
      </c>
      <c r="D24" s="8">
        <v>76.599999999999994</v>
      </c>
      <c r="E24" s="8">
        <v>9.67</v>
      </c>
      <c r="F24" s="8">
        <v>3.83</v>
      </c>
      <c r="G24" s="8">
        <v>28.7</v>
      </c>
      <c r="H24" s="8">
        <v>45.5</v>
      </c>
      <c r="I24" s="8">
        <v>825</v>
      </c>
      <c r="J24" s="8">
        <v>2.66</v>
      </c>
      <c r="K24" s="8"/>
    </row>
    <row r="25" spans="1:11" x14ac:dyDescent="0.35">
      <c r="A25" s="2" t="s">
        <v>63</v>
      </c>
      <c r="B25" s="3" t="s">
        <v>14</v>
      </c>
      <c r="C25" s="3">
        <v>99</v>
      </c>
      <c r="D25" s="3">
        <v>78.099999999999994</v>
      </c>
      <c r="E25" s="3">
        <v>10.75</v>
      </c>
      <c r="F25" s="3">
        <v>7.91</v>
      </c>
      <c r="G25" s="3">
        <v>58.9</v>
      </c>
      <c r="H25" s="3">
        <v>31.6</v>
      </c>
      <c r="I25" s="3">
        <v>1042</v>
      </c>
      <c r="J25" s="3">
        <v>3.29</v>
      </c>
      <c r="K25" s="13" t="s">
        <v>51</v>
      </c>
    </row>
    <row r="26" spans="1:11" x14ac:dyDescent="0.35">
      <c r="A26" s="7" t="s">
        <v>64</v>
      </c>
      <c r="B26" s="8" t="s">
        <v>14</v>
      </c>
      <c r="C26" s="8">
        <v>42.1</v>
      </c>
      <c r="D26" s="8">
        <v>77.2</v>
      </c>
      <c r="E26" s="8">
        <v>10.38</v>
      </c>
      <c r="F26" s="8">
        <v>1.07</v>
      </c>
      <c r="G26" s="8">
        <v>0</v>
      </c>
      <c r="H26" s="8">
        <v>25.5</v>
      </c>
      <c r="I26" s="8">
        <v>640</v>
      </c>
      <c r="J26" s="8">
        <v>1.61</v>
      </c>
      <c r="K26" s="8"/>
    </row>
    <row r="27" spans="1:11" x14ac:dyDescent="0.35">
      <c r="A27" s="2" t="s">
        <v>65</v>
      </c>
      <c r="B27" s="3" t="s">
        <v>14</v>
      </c>
      <c r="C27" s="3">
        <v>78.400000000000006</v>
      </c>
      <c r="D27" s="3">
        <v>78.099999999999994</v>
      </c>
      <c r="E27" s="3">
        <v>3.62</v>
      </c>
      <c r="F27" s="3">
        <v>3.89</v>
      </c>
      <c r="G27" s="3">
        <v>38.799999999999997</v>
      </c>
      <c r="H27" s="3">
        <v>6.3</v>
      </c>
      <c r="I27" s="3">
        <v>898</v>
      </c>
      <c r="J27" s="3">
        <v>2.06</v>
      </c>
      <c r="K27" s="3"/>
    </row>
    <row r="28" spans="1:11" x14ac:dyDescent="0.35">
      <c r="A28" s="7" t="s">
        <v>66</v>
      </c>
      <c r="B28" s="8" t="s">
        <v>14</v>
      </c>
      <c r="C28" s="8">
        <v>43.6</v>
      </c>
      <c r="D28" s="8">
        <v>77.2</v>
      </c>
      <c r="E28" s="8">
        <v>11.55</v>
      </c>
      <c r="F28" s="8">
        <v>2.44</v>
      </c>
      <c r="G28" s="8">
        <v>62</v>
      </c>
      <c r="H28" s="8">
        <v>51.2</v>
      </c>
      <c r="I28" s="8">
        <v>877</v>
      </c>
      <c r="J28" s="8">
        <v>2.4</v>
      </c>
      <c r="K28" s="8"/>
    </row>
    <row r="29" spans="1:11" x14ac:dyDescent="0.35">
      <c r="A29" s="2" t="s">
        <v>42</v>
      </c>
      <c r="B29" s="3" t="s">
        <v>21</v>
      </c>
      <c r="C29" s="3">
        <v>47.6</v>
      </c>
      <c r="D29" s="3">
        <v>96.3</v>
      </c>
      <c r="E29" s="3">
        <v>0</v>
      </c>
      <c r="F29" s="3">
        <v>31.43</v>
      </c>
      <c r="G29" s="3">
        <v>8.1</v>
      </c>
      <c r="H29" s="3">
        <v>6.5</v>
      </c>
      <c r="I29" s="3">
        <v>3190</v>
      </c>
      <c r="J29" s="3">
        <v>1.2</v>
      </c>
      <c r="K29" s="3"/>
    </row>
    <row r="30" spans="1:11" x14ac:dyDescent="0.35">
      <c r="A30" s="7" t="s">
        <v>43</v>
      </c>
      <c r="B30" s="8" t="s">
        <v>21</v>
      </c>
      <c r="C30" s="8">
        <v>98.2</v>
      </c>
      <c r="D30" s="8">
        <v>82.8</v>
      </c>
      <c r="E30" s="8">
        <v>49.76</v>
      </c>
      <c r="F30" s="8">
        <v>21.14</v>
      </c>
      <c r="G30" s="8">
        <v>8.6999999999999993</v>
      </c>
      <c r="H30" s="8">
        <v>9.8000000000000007</v>
      </c>
      <c r="I30" s="8">
        <v>2898</v>
      </c>
      <c r="J30" s="8">
        <v>1.28</v>
      </c>
      <c r="K30" s="14" t="s">
        <v>51</v>
      </c>
    </row>
    <row r="31" spans="1:11" x14ac:dyDescent="0.35">
      <c r="A31" s="2" t="s">
        <v>44</v>
      </c>
      <c r="B31" s="3" t="s">
        <v>21</v>
      </c>
      <c r="C31" s="3">
        <v>50</v>
      </c>
      <c r="D31" s="3">
        <v>95</v>
      </c>
      <c r="E31" s="3">
        <v>50.66</v>
      </c>
      <c r="F31" s="3">
        <v>62.14</v>
      </c>
      <c r="G31" s="3">
        <v>9.9</v>
      </c>
      <c r="H31" s="3">
        <v>13.5</v>
      </c>
      <c r="I31" s="3">
        <v>5422</v>
      </c>
      <c r="J31" s="3">
        <v>0.85</v>
      </c>
      <c r="K31" s="3"/>
    </row>
    <row r="32" spans="1:11" x14ac:dyDescent="0.35">
      <c r="A32" s="7" t="s">
        <v>45</v>
      </c>
      <c r="B32" s="8" t="s">
        <v>21</v>
      </c>
      <c r="C32" s="8">
        <v>25.2</v>
      </c>
      <c r="D32" s="8">
        <v>82.3</v>
      </c>
      <c r="E32" s="8">
        <v>40.950000000000003</v>
      </c>
      <c r="F32" s="8">
        <v>31.4</v>
      </c>
      <c r="G32" s="8">
        <v>20.8</v>
      </c>
      <c r="H32" s="8">
        <v>5.7</v>
      </c>
      <c r="I32" s="8">
        <v>1438</v>
      </c>
      <c r="J32" s="8">
        <v>1.03</v>
      </c>
      <c r="K32" s="8"/>
    </row>
    <row r="33" spans="1:11" x14ac:dyDescent="0.35">
      <c r="A33" s="2" t="s">
        <v>46</v>
      </c>
      <c r="B33" s="3" t="s">
        <v>21</v>
      </c>
      <c r="C33" s="3">
        <v>83.2</v>
      </c>
      <c r="D33" s="3">
        <v>87.3</v>
      </c>
      <c r="E33" s="3">
        <v>3.61</v>
      </c>
      <c r="F33" s="3">
        <v>27.97</v>
      </c>
      <c r="G33" s="3">
        <v>25.4</v>
      </c>
      <c r="H33" s="3">
        <v>20.100000000000001</v>
      </c>
      <c r="I33" s="3">
        <v>3320</v>
      </c>
      <c r="J33" s="3">
        <v>1.32</v>
      </c>
      <c r="K33" s="3"/>
    </row>
    <row r="34" spans="1:11" x14ac:dyDescent="0.35">
      <c r="A34" s="7" t="s">
        <v>47</v>
      </c>
      <c r="B34" s="8" t="s">
        <v>21</v>
      </c>
      <c r="C34" s="8">
        <v>63</v>
      </c>
      <c r="D34" s="8">
        <v>80.8</v>
      </c>
      <c r="E34" s="8">
        <v>54.94</v>
      </c>
      <c r="F34" s="8">
        <v>43.55</v>
      </c>
      <c r="G34" s="8">
        <v>22.6</v>
      </c>
      <c r="H34" s="8">
        <v>9.6</v>
      </c>
      <c r="I34" s="8">
        <v>3264</v>
      </c>
      <c r="J34" s="8">
        <v>0.89</v>
      </c>
      <c r="K34" s="8"/>
    </row>
    <row r="35" spans="1:11" x14ac:dyDescent="0.35">
      <c r="A35" s="2" t="s">
        <v>48</v>
      </c>
      <c r="B35" s="3" t="s">
        <v>21</v>
      </c>
      <c r="C35" s="3">
        <v>30.2</v>
      </c>
      <c r="D35" s="3">
        <v>88.2</v>
      </c>
      <c r="E35" s="3">
        <v>0</v>
      </c>
      <c r="F35" s="3">
        <v>16</v>
      </c>
      <c r="G35" s="3">
        <v>14.1</v>
      </c>
      <c r="H35" s="3">
        <v>14.6</v>
      </c>
      <c r="I35" s="3">
        <v>2275</v>
      </c>
      <c r="J35" s="3">
        <v>1.6</v>
      </c>
      <c r="K35" s="3"/>
    </row>
    <row r="36" spans="1:11" x14ac:dyDescent="0.35">
      <c r="A36" s="7" t="s">
        <v>49</v>
      </c>
      <c r="B36" s="8" t="s">
        <v>21</v>
      </c>
      <c r="C36" s="8">
        <v>58.6</v>
      </c>
      <c r="D36" s="8">
        <v>81.3</v>
      </c>
      <c r="E36" s="8">
        <v>29.26</v>
      </c>
      <c r="F36" s="8">
        <v>51.41</v>
      </c>
      <c r="G36" s="8">
        <v>22.2</v>
      </c>
      <c r="H36" s="8">
        <v>11.9</v>
      </c>
      <c r="I36" s="8">
        <v>4705</v>
      </c>
      <c r="J36" s="8">
        <v>1.19</v>
      </c>
      <c r="K36" s="8"/>
    </row>
    <row r="37" spans="1:11" x14ac:dyDescent="0.35">
      <c r="A37" s="2" t="s">
        <v>50</v>
      </c>
      <c r="B37" s="3" t="s">
        <v>21</v>
      </c>
      <c r="C37" s="3">
        <v>90.9</v>
      </c>
      <c r="D37" s="3">
        <v>86.5</v>
      </c>
      <c r="E37" s="3">
        <v>49.56</v>
      </c>
      <c r="F37" s="3">
        <v>70.739999999999995</v>
      </c>
      <c r="G37" s="3">
        <v>30.1</v>
      </c>
      <c r="H37" s="3">
        <v>5</v>
      </c>
      <c r="I37" s="3">
        <v>3640</v>
      </c>
      <c r="J37" s="3">
        <v>1.37</v>
      </c>
      <c r="K37" s="13" t="s">
        <v>51</v>
      </c>
    </row>
    <row r="38" spans="1:11" x14ac:dyDescent="0.35">
      <c r="A38" s="7" t="s">
        <v>52</v>
      </c>
      <c r="B38" s="8" t="s">
        <v>21</v>
      </c>
      <c r="C38" s="8">
        <v>59.3</v>
      </c>
      <c r="D38" s="8">
        <v>78.3</v>
      </c>
      <c r="E38" s="8">
        <v>0</v>
      </c>
      <c r="F38" s="8">
        <v>0</v>
      </c>
      <c r="G38" s="8">
        <v>9.9</v>
      </c>
      <c r="H38" s="8">
        <v>6.5</v>
      </c>
      <c r="I38" s="8">
        <v>2412</v>
      </c>
      <c r="J38" s="8">
        <v>0.89</v>
      </c>
      <c r="K38" s="8"/>
    </row>
    <row r="39" spans="1:11" x14ac:dyDescent="0.35">
      <c r="A39" s="2" t="s">
        <v>53</v>
      </c>
      <c r="B39" s="3" t="s">
        <v>21</v>
      </c>
      <c r="C39" s="3">
        <v>46.2</v>
      </c>
      <c r="D39" s="3">
        <v>74.900000000000006</v>
      </c>
      <c r="E39" s="3">
        <v>49.33</v>
      </c>
      <c r="F39" s="3">
        <v>34.049999999999997</v>
      </c>
      <c r="G39" s="3">
        <v>22.2</v>
      </c>
      <c r="H39" s="3">
        <v>13.5</v>
      </c>
      <c r="I39" s="3">
        <v>2944</v>
      </c>
      <c r="J39" s="3">
        <v>1.74</v>
      </c>
      <c r="K39" s="3"/>
    </row>
    <row r="40" spans="1:11" x14ac:dyDescent="0.35">
      <c r="A40" s="7" t="s">
        <v>54</v>
      </c>
      <c r="B40" s="8" t="s">
        <v>21</v>
      </c>
      <c r="C40" s="8">
        <v>79.599999999999994</v>
      </c>
      <c r="D40" s="8">
        <v>81.7</v>
      </c>
      <c r="E40" s="8">
        <v>43.59</v>
      </c>
      <c r="F40" s="8">
        <v>27.23</v>
      </c>
      <c r="G40" s="8">
        <v>0.7</v>
      </c>
      <c r="H40" s="8">
        <v>12.8</v>
      </c>
      <c r="I40" s="8">
        <v>3964</v>
      </c>
      <c r="J40" s="8">
        <v>1.06</v>
      </c>
      <c r="K40" s="8"/>
    </row>
    <row r="41" spans="1:11" x14ac:dyDescent="0.35">
      <c r="A41" s="2" t="s">
        <v>55</v>
      </c>
      <c r="B41" s="3" t="s">
        <v>21</v>
      </c>
      <c r="C41" s="3">
        <v>36.9</v>
      </c>
      <c r="D41" s="3">
        <v>86.9</v>
      </c>
      <c r="E41" s="3">
        <v>65.84</v>
      </c>
      <c r="F41" s="3">
        <v>21.57</v>
      </c>
      <c r="G41" s="3">
        <v>6.4</v>
      </c>
      <c r="H41" s="3">
        <v>4</v>
      </c>
      <c r="I41" s="3">
        <v>2205</v>
      </c>
      <c r="J41" s="3">
        <v>0.69</v>
      </c>
      <c r="K41" s="3"/>
    </row>
    <row r="42" spans="1:11" x14ac:dyDescent="0.35">
      <c r="A42" s="7" t="s">
        <v>56</v>
      </c>
      <c r="B42" s="8" t="s">
        <v>21</v>
      </c>
      <c r="C42" s="8">
        <v>62.7</v>
      </c>
      <c r="D42" s="8">
        <v>85.3</v>
      </c>
      <c r="E42" s="8">
        <v>79.64</v>
      </c>
      <c r="F42" s="8">
        <v>42.65</v>
      </c>
      <c r="G42" s="8">
        <v>22.5</v>
      </c>
      <c r="H42" s="8">
        <v>5.9</v>
      </c>
      <c r="I42" s="8">
        <v>3374</v>
      </c>
      <c r="J42" s="8">
        <v>0.74</v>
      </c>
      <c r="K42" s="8"/>
    </row>
    <row r="43" spans="1:11" x14ac:dyDescent="0.35">
      <c r="A43" s="2" t="s">
        <v>57</v>
      </c>
      <c r="B43" s="3" t="s">
        <v>21</v>
      </c>
      <c r="C43" s="3">
        <v>86.3</v>
      </c>
      <c r="D43" s="3">
        <v>87.1</v>
      </c>
      <c r="E43" s="3">
        <v>38.67</v>
      </c>
      <c r="F43" s="3">
        <v>65.989999999999995</v>
      </c>
      <c r="G43" s="3">
        <v>22.5</v>
      </c>
      <c r="H43" s="3">
        <v>2.5</v>
      </c>
      <c r="I43" s="3">
        <v>4116</v>
      </c>
      <c r="J43" s="3">
        <v>1.04</v>
      </c>
      <c r="K43" s="3"/>
    </row>
    <row r="44" spans="1:11" x14ac:dyDescent="0.35">
      <c r="A44" s="7" t="s">
        <v>58</v>
      </c>
      <c r="B44" s="8" t="s">
        <v>21</v>
      </c>
      <c r="C44" s="8">
        <v>47.6</v>
      </c>
      <c r="D44" s="8">
        <v>87.3</v>
      </c>
      <c r="E44" s="8">
        <v>39.31</v>
      </c>
      <c r="F44" s="8">
        <v>0</v>
      </c>
      <c r="G44" s="8">
        <v>1.2</v>
      </c>
      <c r="H44" s="8">
        <v>10.9</v>
      </c>
      <c r="I44" s="8">
        <v>2890</v>
      </c>
      <c r="J44" s="8">
        <v>1.96</v>
      </c>
      <c r="K44" s="8"/>
    </row>
    <row r="45" spans="1:11" x14ac:dyDescent="0.35">
      <c r="A45" s="2" t="s">
        <v>59</v>
      </c>
      <c r="B45" s="3" t="s">
        <v>21</v>
      </c>
      <c r="C45" s="3">
        <v>91.6</v>
      </c>
      <c r="D45" s="3">
        <v>74.7</v>
      </c>
      <c r="E45" s="3">
        <v>58.14</v>
      </c>
      <c r="F45" s="3">
        <v>0</v>
      </c>
      <c r="G45" s="3">
        <v>27.2</v>
      </c>
      <c r="H45" s="3">
        <v>10.8</v>
      </c>
      <c r="I45" s="3">
        <v>2469</v>
      </c>
      <c r="J45" s="3">
        <v>2</v>
      </c>
      <c r="K45" s="13" t="s">
        <v>51</v>
      </c>
    </row>
    <row r="46" spans="1:11" x14ac:dyDescent="0.35">
      <c r="A46" s="7" t="s">
        <v>60</v>
      </c>
      <c r="B46" s="8" t="s">
        <v>21</v>
      </c>
      <c r="C46" s="8">
        <v>91.3</v>
      </c>
      <c r="D46" s="8">
        <v>75.5</v>
      </c>
      <c r="E46" s="8">
        <v>59.87</v>
      </c>
      <c r="F46" s="8">
        <v>25.03</v>
      </c>
      <c r="G46" s="8">
        <v>18.899999999999999</v>
      </c>
      <c r="H46" s="8">
        <v>9.6999999999999993</v>
      </c>
      <c r="I46" s="8">
        <v>4526</v>
      </c>
      <c r="J46" s="8">
        <v>0.63</v>
      </c>
      <c r="K46" s="14" t="s">
        <v>51</v>
      </c>
    </row>
    <row r="47" spans="1:11" x14ac:dyDescent="0.35">
      <c r="A47" s="2" t="s">
        <v>61</v>
      </c>
      <c r="B47" s="3" t="s">
        <v>21</v>
      </c>
      <c r="C47" s="3">
        <v>52.4</v>
      </c>
      <c r="D47" s="3">
        <v>94.1</v>
      </c>
      <c r="E47" s="3">
        <v>14.96</v>
      </c>
      <c r="F47" s="3">
        <v>24.16</v>
      </c>
      <c r="G47" s="3">
        <v>12.1</v>
      </c>
      <c r="H47" s="3">
        <v>3.6</v>
      </c>
      <c r="I47" s="3">
        <v>2563</v>
      </c>
      <c r="J47" s="3">
        <v>1.24</v>
      </c>
      <c r="K47" s="3"/>
    </row>
    <row r="48" spans="1:11" x14ac:dyDescent="0.35">
      <c r="A48" s="7" t="s">
        <v>62</v>
      </c>
      <c r="B48" s="8" t="s">
        <v>21</v>
      </c>
      <c r="C48" s="8">
        <v>50.4</v>
      </c>
      <c r="D48" s="8">
        <v>93.8</v>
      </c>
      <c r="E48" s="8">
        <v>58.58</v>
      </c>
      <c r="F48" s="8">
        <v>25.99</v>
      </c>
      <c r="G48" s="8">
        <v>9.1999999999999993</v>
      </c>
      <c r="H48" s="8">
        <v>5.6</v>
      </c>
      <c r="I48" s="8">
        <v>3655</v>
      </c>
      <c r="J48" s="8">
        <v>1.1399999999999999</v>
      </c>
      <c r="K48" s="8"/>
    </row>
    <row r="49" spans="1:11" x14ac:dyDescent="0.35">
      <c r="A49" s="2" t="s">
        <v>63</v>
      </c>
      <c r="B49" s="3" t="s">
        <v>21</v>
      </c>
      <c r="C49" s="3">
        <v>88.5</v>
      </c>
      <c r="D49" s="3">
        <v>84.1</v>
      </c>
      <c r="E49" s="3">
        <v>66.33</v>
      </c>
      <c r="F49" s="3">
        <v>34.26</v>
      </c>
      <c r="G49" s="3">
        <v>24.1</v>
      </c>
      <c r="H49" s="3">
        <v>11.1</v>
      </c>
      <c r="I49" s="3">
        <v>4254</v>
      </c>
      <c r="J49" s="3">
        <v>1.47</v>
      </c>
      <c r="K49" s="3"/>
    </row>
    <row r="50" spans="1:11" x14ac:dyDescent="0.35">
      <c r="A50" s="7" t="s">
        <v>64</v>
      </c>
      <c r="B50" s="8" t="s">
        <v>21</v>
      </c>
      <c r="C50" s="8">
        <v>45.9</v>
      </c>
      <c r="D50" s="8">
        <v>80.7</v>
      </c>
      <c r="E50" s="8">
        <v>12.7</v>
      </c>
      <c r="F50" s="8">
        <v>9.89</v>
      </c>
      <c r="G50" s="8">
        <v>2.6</v>
      </c>
      <c r="H50" s="8">
        <v>11.3</v>
      </c>
      <c r="I50" s="8">
        <v>2216</v>
      </c>
      <c r="J50" s="8">
        <v>1.83</v>
      </c>
      <c r="K50" s="8"/>
    </row>
    <row r="51" spans="1:11" x14ac:dyDescent="0.35">
      <c r="A51" s="2" t="s">
        <v>65</v>
      </c>
      <c r="B51" s="3" t="s">
        <v>21</v>
      </c>
      <c r="C51" s="3">
        <v>98.8</v>
      </c>
      <c r="D51" s="3">
        <v>85.1</v>
      </c>
      <c r="E51" s="3">
        <v>11.79</v>
      </c>
      <c r="F51" s="3">
        <v>22.78</v>
      </c>
      <c r="G51" s="3">
        <v>13.6</v>
      </c>
      <c r="H51" s="3">
        <v>2.1</v>
      </c>
      <c r="I51" s="3">
        <v>2914</v>
      </c>
      <c r="J51" s="3">
        <v>1.31</v>
      </c>
      <c r="K51" s="13" t="s">
        <v>51</v>
      </c>
    </row>
    <row r="52" spans="1:11" x14ac:dyDescent="0.35">
      <c r="A52" s="7" t="s">
        <v>66</v>
      </c>
      <c r="B52" s="8" t="s">
        <v>21</v>
      </c>
      <c r="C52" s="8">
        <v>74.7</v>
      </c>
      <c r="D52" s="8">
        <v>81.2</v>
      </c>
      <c r="E52" s="8">
        <v>38.82</v>
      </c>
      <c r="F52" s="8">
        <v>62.8</v>
      </c>
      <c r="G52" s="8">
        <v>16.7</v>
      </c>
      <c r="H52" s="8">
        <v>7.9</v>
      </c>
      <c r="I52" s="8">
        <v>3653</v>
      </c>
      <c r="J52" s="8">
        <v>1.58</v>
      </c>
      <c r="K52" s="8"/>
    </row>
    <row r="53" spans="1:11" x14ac:dyDescent="0.35">
      <c r="A53" s="2" t="s">
        <v>42</v>
      </c>
      <c r="B53" s="3" t="s">
        <v>24</v>
      </c>
      <c r="C53" s="3">
        <v>7.4</v>
      </c>
      <c r="D53" s="3">
        <v>62.2</v>
      </c>
      <c r="E53" s="3">
        <v>4.26</v>
      </c>
      <c r="F53" s="3">
        <v>2.15</v>
      </c>
      <c r="G53" s="3">
        <v>11.2</v>
      </c>
      <c r="H53" s="3">
        <v>1.8</v>
      </c>
      <c r="I53" s="3">
        <v>337</v>
      </c>
      <c r="J53" s="3">
        <v>2.5499999999999998</v>
      </c>
      <c r="K53" s="3"/>
    </row>
    <row r="54" spans="1:11" x14ac:dyDescent="0.35">
      <c r="A54" s="7" t="s">
        <v>43</v>
      </c>
      <c r="B54" s="8" t="s">
        <v>24</v>
      </c>
      <c r="C54" s="8">
        <v>23.3</v>
      </c>
      <c r="D54" s="8">
        <v>72.900000000000006</v>
      </c>
      <c r="E54" s="8">
        <v>5.44</v>
      </c>
      <c r="F54" s="8">
        <v>1.9</v>
      </c>
      <c r="G54" s="8">
        <v>2.8</v>
      </c>
      <c r="H54" s="8">
        <v>6.4</v>
      </c>
      <c r="I54" s="8">
        <v>240</v>
      </c>
      <c r="J54" s="8">
        <v>2.39</v>
      </c>
      <c r="K54" s="8"/>
    </row>
    <row r="55" spans="1:11" x14ac:dyDescent="0.35">
      <c r="A55" s="2" t="s">
        <v>44</v>
      </c>
      <c r="B55" s="3" t="s">
        <v>24</v>
      </c>
      <c r="C55" s="3">
        <v>25.8</v>
      </c>
      <c r="D55" s="3">
        <v>58.7</v>
      </c>
      <c r="E55" s="3">
        <v>0.56000000000000005</v>
      </c>
      <c r="F55" s="3">
        <v>2.76</v>
      </c>
      <c r="G55" s="3">
        <v>10.3</v>
      </c>
      <c r="H55" s="3">
        <v>4.2</v>
      </c>
      <c r="I55" s="3">
        <v>487</v>
      </c>
      <c r="J55" s="3">
        <v>4.2300000000000004</v>
      </c>
      <c r="K55" s="3"/>
    </row>
    <row r="56" spans="1:11" x14ac:dyDescent="0.35">
      <c r="A56" s="7" t="s">
        <v>45</v>
      </c>
      <c r="B56" s="8" t="s">
        <v>24</v>
      </c>
      <c r="C56" s="8">
        <v>9.3000000000000007</v>
      </c>
      <c r="D56" s="8">
        <v>44.9</v>
      </c>
      <c r="E56" s="8">
        <v>4.1900000000000004</v>
      </c>
      <c r="F56" s="8">
        <v>0</v>
      </c>
      <c r="G56" s="8">
        <v>4.3</v>
      </c>
      <c r="H56" s="8">
        <v>1.6</v>
      </c>
      <c r="I56" s="8">
        <v>230</v>
      </c>
      <c r="J56" s="8">
        <v>3.75</v>
      </c>
      <c r="K56" s="8"/>
    </row>
    <row r="57" spans="1:11" x14ac:dyDescent="0.35">
      <c r="A57" s="2" t="s">
        <v>46</v>
      </c>
      <c r="B57" s="3" t="s">
        <v>24</v>
      </c>
      <c r="C57" s="3">
        <v>34.200000000000003</v>
      </c>
      <c r="D57" s="3">
        <v>72</v>
      </c>
      <c r="E57" s="3">
        <v>4.26</v>
      </c>
      <c r="F57" s="3">
        <v>1.59</v>
      </c>
      <c r="G57" s="3">
        <v>2.8</v>
      </c>
      <c r="H57" s="3">
        <v>6.9</v>
      </c>
      <c r="I57" s="3">
        <v>356</v>
      </c>
      <c r="J57" s="3">
        <v>5.24</v>
      </c>
      <c r="K57" s="3"/>
    </row>
    <row r="58" spans="1:11" x14ac:dyDescent="0.35">
      <c r="A58" s="7" t="s">
        <v>47</v>
      </c>
      <c r="B58" s="8" t="s">
        <v>24</v>
      </c>
      <c r="C58" s="8">
        <v>23.3</v>
      </c>
      <c r="D58" s="8">
        <v>55.4</v>
      </c>
      <c r="E58" s="8">
        <v>4.68</v>
      </c>
      <c r="F58" s="8">
        <v>2.31</v>
      </c>
      <c r="G58" s="8">
        <v>9.6</v>
      </c>
      <c r="H58" s="8">
        <v>0.9</v>
      </c>
      <c r="I58" s="8">
        <v>466</v>
      </c>
      <c r="J58" s="8">
        <v>4.28</v>
      </c>
      <c r="K58" s="8"/>
    </row>
    <row r="59" spans="1:11" x14ac:dyDescent="0.35">
      <c r="A59" s="2" t="s">
        <v>48</v>
      </c>
      <c r="B59" s="3" t="s">
        <v>24</v>
      </c>
      <c r="C59" s="3">
        <v>52.8</v>
      </c>
      <c r="D59" s="3">
        <v>88.7</v>
      </c>
      <c r="E59" s="3">
        <v>2.16</v>
      </c>
      <c r="F59" s="3">
        <v>1.36</v>
      </c>
      <c r="G59" s="3">
        <v>5.6</v>
      </c>
      <c r="H59" s="3">
        <v>9.3000000000000007</v>
      </c>
      <c r="I59" s="3">
        <v>50</v>
      </c>
      <c r="J59" s="3">
        <v>4.08</v>
      </c>
      <c r="K59" s="3"/>
    </row>
    <row r="60" spans="1:11" x14ac:dyDescent="0.35">
      <c r="A60" s="7" t="s">
        <v>49</v>
      </c>
      <c r="B60" s="8" t="s">
        <v>24</v>
      </c>
      <c r="C60" s="8">
        <v>5</v>
      </c>
      <c r="D60" s="8">
        <v>20</v>
      </c>
      <c r="E60" s="8">
        <v>0</v>
      </c>
      <c r="F60" s="8">
        <v>0.52</v>
      </c>
      <c r="G60" s="8">
        <v>11.9</v>
      </c>
      <c r="H60" s="8">
        <v>2.1</v>
      </c>
      <c r="I60" s="8">
        <v>281</v>
      </c>
      <c r="J60" s="8">
        <v>2.1</v>
      </c>
      <c r="K60" s="8"/>
    </row>
    <row r="61" spans="1:11" x14ac:dyDescent="0.35">
      <c r="A61" s="2" t="s">
        <v>50</v>
      </c>
      <c r="B61" s="3" t="s">
        <v>24</v>
      </c>
      <c r="C61" s="3">
        <v>57.3</v>
      </c>
      <c r="D61" s="3">
        <v>38.5</v>
      </c>
      <c r="E61" s="3">
        <v>7.44</v>
      </c>
      <c r="F61" s="3">
        <v>1.41</v>
      </c>
      <c r="G61" s="3">
        <v>6.5</v>
      </c>
      <c r="H61" s="3">
        <v>6.4</v>
      </c>
      <c r="I61" s="3">
        <v>386</v>
      </c>
      <c r="J61" s="3">
        <v>5.21</v>
      </c>
      <c r="K61" s="3"/>
    </row>
    <row r="62" spans="1:11" x14ac:dyDescent="0.35">
      <c r="A62" s="7" t="s">
        <v>52</v>
      </c>
      <c r="B62" s="8" t="s">
        <v>24</v>
      </c>
      <c r="C62" s="8">
        <v>27.5</v>
      </c>
      <c r="D62" s="8">
        <v>36.9</v>
      </c>
      <c r="E62" s="8">
        <v>1.68</v>
      </c>
      <c r="F62" s="8">
        <v>0.83</v>
      </c>
      <c r="G62" s="8">
        <v>8.5</v>
      </c>
      <c r="H62" s="8">
        <v>4.7</v>
      </c>
      <c r="I62" s="8">
        <v>212</v>
      </c>
      <c r="J62" s="8">
        <v>4.54</v>
      </c>
      <c r="K62" s="8"/>
    </row>
    <row r="63" spans="1:11" x14ac:dyDescent="0.35">
      <c r="A63" s="2" t="s">
        <v>53</v>
      </c>
      <c r="B63" s="3" t="s">
        <v>24</v>
      </c>
      <c r="C63" s="3">
        <v>20</v>
      </c>
      <c r="D63" s="3">
        <v>53</v>
      </c>
      <c r="E63" s="3">
        <v>4.16</v>
      </c>
      <c r="F63" s="3">
        <v>3.43</v>
      </c>
      <c r="G63" s="3">
        <v>7.2</v>
      </c>
      <c r="H63" s="3">
        <v>3.7</v>
      </c>
      <c r="I63" s="3">
        <v>199</v>
      </c>
      <c r="J63" s="3">
        <v>4.32</v>
      </c>
      <c r="K63" s="3"/>
    </row>
    <row r="64" spans="1:11" x14ac:dyDescent="0.35">
      <c r="A64" s="7" t="s">
        <v>54</v>
      </c>
      <c r="B64" s="8" t="s">
        <v>24</v>
      </c>
      <c r="C64" s="8">
        <v>27.3</v>
      </c>
      <c r="D64" s="8">
        <v>60.2</v>
      </c>
      <c r="E64" s="8">
        <v>1</v>
      </c>
      <c r="F64" s="8">
        <v>3.44</v>
      </c>
      <c r="G64" s="8">
        <v>4.3</v>
      </c>
      <c r="H64" s="8">
        <v>3.7</v>
      </c>
      <c r="I64" s="8">
        <v>489</v>
      </c>
      <c r="J64" s="8">
        <v>1.9</v>
      </c>
      <c r="K64" s="8"/>
    </row>
    <row r="65" spans="1:11" x14ac:dyDescent="0.35">
      <c r="A65" s="2" t="s">
        <v>55</v>
      </c>
      <c r="B65" s="3" t="s">
        <v>24</v>
      </c>
      <c r="C65" s="3">
        <v>22.5</v>
      </c>
      <c r="D65" s="3">
        <v>56.1</v>
      </c>
      <c r="E65" s="3">
        <v>0.8</v>
      </c>
      <c r="F65" s="3">
        <v>2.74</v>
      </c>
      <c r="G65" s="3">
        <v>11.6</v>
      </c>
      <c r="H65" s="3">
        <v>0</v>
      </c>
      <c r="I65" s="3">
        <v>79</v>
      </c>
      <c r="J65" s="3">
        <v>4.47</v>
      </c>
      <c r="K65" s="3"/>
    </row>
    <row r="66" spans="1:11" x14ac:dyDescent="0.35">
      <c r="A66" s="7" t="s">
        <v>56</v>
      </c>
      <c r="B66" s="8" t="s">
        <v>24</v>
      </c>
      <c r="C66" s="8">
        <v>5</v>
      </c>
      <c r="D66" s="8">
        <v>49.2</v>
      </c>
      <c r="E66" s="8">
        <v>4.0599999999999996</v>
      </c>
      <c r="F66" s="8">
        <v>2.59</v>
      </c>
      <c r="G66" s="8">
        <v>6.7</v>
      </c>
      <c r="H66" s="8">
        <v>5</v>
      </c>
      <c r="I66" s="8">
        <v>226</v>
      </c>
      <c r="J66" s="8">
        <v>5.05</v>
      </c>
      <c r="K66" s="8"/>
    </row>
    <row r="67" spans="1:11" x14ac:dyDescent="0.35">
      <c r="A67" s="2" t="s">
        <v>57</v>
      </c>
      <c r="B67" s="3" t="s">
        <v>24</v>
      </c>
      <c r="C67" s="3">
        <v>29.6</v>
      </c>
      <c r="D67" s="3">
        <v>60.1</v>
      </c>
      <c r="E67" s="3">
        <v>3.78</v>
      </c>
      <c r="F67" s="3">
        <v>2.5099999999999998</v>
      </c>
      <c r="G67" s="3">
        <v>8.9</v>
      </c>
      <c r="H67" s="3">
        <v>5.5</v>
      </c>
      <c r="I67" s="3">
        <v>282</v>
      </c>
      <c r="J67" s="3">
        <v>4.46</v>
      </c>
      <c r="K67" s="3"/>
    </row>
    <row r="68" spans="1:11" x14ac:dyDescent="0.35">
      <c r="A68" s="7" t="s">
        <v>58</v>
      </c>
      <c r="B68" s="8" t="s">
        <v>24</v>
      </c>
      <c r="C68" s="8">
        <v>59.9</v>
      </c>
      <c r="D68" s="8">
        <v>58.6</v>
      </c>
      <c r="E68" s="8">
        <v>4.26</v>
      </c>
      <c r="F68" s="8">
        <v>2.2400000000000002</v>
      </c>
      <c r="G68" s="8">
        <v>9.3000000000000007</v>
      </c>
      <c r="H68" s="8">
        <v>4.4000000000000004</v>
      </c>
      <c r="I68" s="8">
        <v>245</v>
      </c>
      <c r="J68" s="8">
        <v>4.54</v>
      </c>
      <c r="K68" s="8"/>
    </row>
    <row r="69" spans="1:11" x14ac:dyDescent="0.35">
      <c r="A69" s="2" t="s">
        <v>59</v>
      </c>
      <c r="B69" s="3" t="s">
        <v>24</v>
      </c>
      <c r="C69" s="3">
        <v>35</v>
      </c>
      <c r="D69" s="3">
        <v>40.4</v>
      </c>
      <c r="E69" s="3">
        <v>3.85</v>
      </c>
      <c r="F69" s="3">
        <v>0.01</v>
      </c>
      <c r="G69" s="3">
        <v>7.6</v>
      </c>
      <c r="H69" s="3">
        <v>6</v>
      </c>
      <c r="I69" s="3">
        <v>427</v>
      </c>
      <c r="J69" s="3">
        <v>3.68</v>
      </c>
      <c r="K69" s="3"/>
    </row>
    <row r="70" spans="1:11" x14ac:dyDescent="0.35">
      <c r="A70" s="7" t="s">
        <v>60</v>
      </c>
      <c r="B70" s="8" t="s">
        <v>24</v>
      </c>
      <c r="C70" s="8">
        <v>65.2</v>
      </c>
      <c r="D70" s="8">
        <v>55</v>
      </c>
      <c r="E70" s="8">
        <v>2.75</v>
      </c>
      <c r="F70" s="8">
        <v>0.99</v>
      </c>
      <c r="G70" s="8">
        <v>5.7</v>
      </c>
      <c r="H70" s="8">
        <v>1.9</v>
      </c>
      <c r="I70" s="8">
        <v>447</v>
      </c>
      <c r="J70" s="8">
        <v>3.25</v>
      </c>
      <c r="K70" s="8"/>
    </row>
    <row r="71" spans="1:11" x14ac:dyDescent="0.35">
      <c r="A71" s="2" t="s">
        <v>61</v>
      </c>
      <c r="B71" s="3" t="s">
        <v>24</v>
      </c>
      <c r="C71" s="3">
        <v>38.799999999999997</v>
      </c>
      <c r="D71" s="3">
        <v>56.1</v>
      </c>
      <c r="E71" s="3">
        <v>4.8899999999999997</v>
      </c>
      <c r="F71" s="3">
        <v>2.46</v>
      </c>
      <c r="G71" s="3">
        <v>3</v>
      </c>
      <c r="H71" s="3">
        <v>2.7</v>
      </c>
      <c r="I71" s="3">
        <v>170</v>
      </c>
      <c r="J71" s="3">
        <v>1.55</v>
      </c>
      <c r="K71" s="3"/>
    </row>
    <row r="72" spans="1:11" x14ac:dyDescent="0.35">
      <c r="A72" s="7" t="s">
        <v>62</v>
      </c>
      <c r="B72" s="8" t="s">
        <v>24</v>
      </c>
      <c r="C72" s="8">
        <v>50.1</v>
      </c>
      <c r="D72" s="8">
        <v>72.8</v>
      </c>
      <c r="E72" s="8">
        <v>3.79</v>
      </c>
      <c r="F72" s="8">
        <v>1.41</v>
      </c>
      <c r="G72" s="8">
        <v>12</v>
      </c>
      <c r="H72" s="8">
        <v>0</v>
      </c>
      <c r="I72" s="8">
        <v>321</v>
      </c>
      <c r="J72" s="8">
        <v>3.67</v>
      </c>
      <c r="K72" s="8"/>
    </row>
    <row r="73" spans="1:11" x14ac:dyDescent="0.35">
      <c r="A73" s="2" t="s">
        <v>63</v>
      </c>
      <c r="B73" s="3" t="s">
        <v>24</v>
      </c>
      <c r="C73" s="3">
        <v>27.7</v>
      </c>
      <c r="D73" s="3">
        <v>75.900000000000006</v>
      </c>
      <c r="E73" s="3">
        <v>6.74</v>
      </c>
      <c r="F73" s="3">
        <v>2.14</v>
      </c>
      <c r="G73" s="3">
        <v>9.3000000000000007</v>
      </c>
      <c r="H73" s="3">
        <v>4.8</v>
      </c>
      <c r="I73" s="3">
        <v>332</v>
      </c>
      <c r="J73" s="3">
        <v>1.93</v>
      </c>
      <c r="K73" s="3"/>
    </row>
    <row r="74" spans="1:11" x14ac:dyDescent="0.35">
      <c r="A74" s="7" t="s">
        <v>64</v>
      </c>
      <c r="B74" s="8" t="s">
        <v>24</v>
      </c>
      <c r="C74" s="8">
        <v>59</v>
      </c>
      <c r="D74" s="8">
        <v>70.400000000000006</v>
      </c>
      <c r="E74" s="8">
        <v>4.4000000000000004</v>
      </c>
      <c r="F74" s="8">
        <v>0.31</v>
      </c>
      <c r="G74" s="8">
        <v>13.9</v>
      </c>
      <c r="H74" s="8">
        <v>9.4</v>
      </c>
      <c r="I74" s="8">
        <v>242</v>
      </c>
      <c r="J74" s="8">
        <v>2.41</v>
      </c>
      <c r="K74" s="8"/>
    </row>
    <row r="75" spans="1:11" x14ac:dyDescent="0.35">
      <c r="A75" s="2" t="s">
        <v>65</v>
      </c>
      <c r="B75" s="3" t="s">
        <v>24</v>
      </c>
      <c r="C75" s="3">
        <v>11.6</v>
      </c>
      <c r="D75" s="3">
        <v>61.3</v>
      </c>
      <c r="E75" s="3">
        <v>1.97</v>
      </c>
      <c r="F75" s="3">
        <v>1.87</v>
      </c>
      <c r="G75" s="3">
        <v>12</v>
      </c>
      <c r="H75" s="3">
        <v>0.2</v>
      </c>
      <c r="I75" s="3">
        <v>504</v>
      </c>
      <c r="J75" s="3">
        <v>5.38</v>
      </c>
      <c r="K75" s="3"/>
    </row>
    <row r="76" spans="1:11" x14ac:dyDescent="0.35">
      <c r="A76" s="7" t="s">
        <v>66</v>
      </c>
      <c r="B76" s="8" t="s">
        <v>24</v>
      </c>
      <c r="C76" s="8">
        <v>11.1</v>
      </c>
      <c r="D76" s="8">
        <v>33.799999999999997</v>
      </c>
      <c r="E76" s="8">
        <v>4.2300000000000004</v>
      </c>
      <c r="F76" s="8">
        <v>1.37</v>
      </c>
      <c r="G76" s="8">
        <v>8.5</v>
      </c>
      <c r="H76" s="8">
        <v>0</v>
      </c>
      <c r="I76" s="8">
        <v>361</v>
      </c>
      <c r="J76" s="8">
        <v>5.66</v>
      </c>
      <c r="K76" s="8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showGridLines="0" workbookViewId="0"/>
  </sheetViews>
  <sheetFormatPr defaultRowHeight="14.5" x14ac:dyDescent="0.35"/>
  <cols>
    <col min="1" max="1" width="26" customWidth="1"/>
    <col min="2" max="2" width="22" customWidth="1"/>
    <col min="3" max="4" width="10" customWidth="1"/>
    <col min="5" max="5" width="8" customWidth="1"/>
    <col min="6" max="6" width="18" customWidth="1"/>
    <col min="7" max="7" width="8" customWidth="1"/>
    <col min="8" max="8" width="9" customWidth="1"/>
    <col min="9" max="10" width="10" customWidth="1"/>
  </cols>
  <sheetData>
    <row r="1" spans="1:10" ht="30" customHeight="1" x14ac:dyDescent="0.35">
      <c r="A1" s="33" t="s">
        <v>67</v>
      </c>
      <c r="B1" s="30"/>
      <c r="C1" s="30"/>
      <c r="D1" s="30"/>
      <c r="E1" s="30"/>
      <c r="F1" s="30"/>
      <c r="G1" s="30"/>
      <c r="H1" s="30"/>
      <c r="I1" s="30"/>
      <c r="J1" s="30"/>
    </row>
    <row r="3" spans="1:10" x14ac:dyDescent="0.35">
      <c r="A3" s="34" t="s">
        <v>68</v>
      </c>
      <c r="B3" s="30"/>
      <c r="C3" s="30"/>
      <c r="D3" s="30"/>
      <c r="E3" s="30"/>
      <c r="F3" s="30"/>
      <c r="G3" s="30"/>
      <c r="H3" s="30"/>
      <c r="I3" s="30"/>
      <c r="J3" s="30"/>
    </row>
    <row r="4" spans="1:10" ht="23" x14ac:dyDescent="0.35">
      <c r="A4" s="12" t="s">
        <v>2</v>
      </c>
      <c r="B4" s="12" t="s">
        <v>69</v>
      </c>
      <c r="C4" s="12" t="s">
        <v>70</v>
      </c>
      <c r="D4" s="12" t="s">
        <v>71</v>
      </c>
      <c r="E4" s="12" t="s">
        <v>72</v>
      </c>
      <c r="F4" s="12" t="s">
        <v>73</v>
      </c>
      <c r="G4" s="12" t="s">
        <v>74</v>
      </c>
      <c r="H4" s="12" t="s">
        <v>75</v>
      </c>
      <c r="I4" s="12" t="s">
        <v>76</v>
      </c>
      <c r="J4" s="12" t="s">
        <v>77</v>
      </c>
    </row>
    <row r="5" spans="1:10" x14ac:dyDescent="0.35">
      <c r="A5" s="2" t="s">
        <v>14</v>
      </c>
      <c r="B5" s="15">
        <v>0.84</v>
      </c>
      <c r="C5" s="3">
        <v>0</v>
      </c>
      <c r="D5" s="16">
        <v>2</v>
      </c>
      <c r="E5" s="3">
        <v>5</v>
      </c>
      <c r="F5" s="3">
        <v>8</v>
      </c>
      <c r="G5" s="3">
        <v>3</v>
      </c>
      <c r="H5" s="3" t="s">
        <v>78</v>
      </c>
      <c r="I5" s="3" t="s">
        <v>79</v>
      </c>
      <c r="J5" s="3" t="s">
        <v>80</v>
      </c>
    </row>
    <row r="6" spans="1:10" x14ac:dyDescent="0.35">
      <c r="A6" s="7" t="s">
        <v>21</v>
      </c>
      <c r="B6" s="17">
        <v>0.78</v>
      </c>
      <c r="C6" s="14">
        <v>1</v>
      </c>
      <c r="D6" s="18">
        <v>3</v>
      </c>
      <c r="E6" s="8">
        <v>7</v>
      </c>
      <c r="F6" s="8">
        <v>4</v>
      </c>
      <c r="G6" s="8">
        <v>2</v>
      </c>
      <c r="H6" s="18" t="s">
        <v>81</v>
      </c>
      <c r="I6" s="8" t="s">
        <v>82</v>
      </c>
      <c r="J6" s="8" t="s">
        <v>80</v>
      </c>
    </row>
    <row r="7" spans="1:10" x14ac:dyDescent="0.35">
      <c r="A7" s="2" t="s">
        <v>24</v>
      </c>
      <c r="B7" s="19">
        <v>0.91</v>
      </c>
      <c r="C7" s="3">
        <v>0</v>
      </c>
      <c r="D7" s="16">
        <v>1</v>
      </c>
      <c r="E7" s="3">
        <v>3</v>
      </c>
      <c r="F7" s="3">
        <v>6</v>
      </c>
      <c r="G7" s="3">
        <v>5</v>
      </c>
      <c r="H7" s="3" t="s">
        <v>78</v>
      </c>
      <c r="I7" s="3" t="s">
        <v>83</v>
      </c>
      <c r="J7" s="13" t="s">
        <v>84</v>
      </c>
    </row>
    <row r="9" spans="1:10" ht="18" customHeight="1" x14ac:dyDescent="0.35">
      <c r="A9" s="34" t="s">
        <v>85</v>
      </c>
      <c r="B9" s="30"/>
      <c r="C9" s="30"/>
      <c r="D9" s="30"/>
      <c r="E9" s="30"/>
      <c r="F9" s="30"/>
      <c r="G9" s="30"/>
      <c r="H9" s="30"/>
      <c r="I9" s="30"/>
      <c r="J9" s="30"/>
    </row>
    <row r="10" spans="1:10" x14ac:dyDescent="0.35">
      <c r="A10" s="12" t="s">
        <v>2</v>
      </c>
      <c r="B10" s="12" t="s">
        <v>86</v>
      </c>
      <c r="C10" s="12" t="s">
        <v>87</v>
      </c>
      <c r="D10" s="12" t="s">
        <v>88</v>
      </c>
      <c r="E10" s="12" t="s">
        <v>89</v>
      </c>
      <c r="F10" s="12" t="s">
        <v>90</v>
      </c>
      <c r="G10" s="12" t="s">
        <v>91</v>
      </c>
      <c r="H10" s="12" t="s">
        <v>92</v>
      </c>
      <c r="I10" s="12" t="s">
        <v>93</v>
      </c>
      <c r="J10" s="12" t="s">
        <v>10</v>
      </c>
    </row>
    <row r="11" spans="1:10" x14ac:dyDescent="0.35">
      <c r="A11" s="2" t="s">
        <v>14</v>
      </c>
      <c r="B11" s="3" t="s">
        <v>94</v>
      </c>
      <c r="C11" s="3" t="s">
        <v>95</v>
      </c>
      <c r="D11" s="3" t="s">
        <v>96</v>
      </c>
      <c r="E11" s="3" t="s">
        <v>97</v>
      </c>
      <c r="F11" s="3" t="s">
        <v>98</v>
      </c>
      <c r="G11" s="3" t="s">
        <v>99</v>
      </c>
      <c r="H11" s="3">
        <v>100</v>
      </c>
      <c r="I11" s="20" t="s">
        <v>73</v>
      </c>
      <c r="J11" s="3" t="s">
        <v>100</v>
      </c>
    </row>
    <row r="12" spans="1:10" x14ac:dyDescent="0.35">
      <c r="A12" s="7" t="s">
        <v>14</v>
      </c>
      <c r="B12" s="8" t="s">
        <v>101</v>
      </c>
      <c r="C12" s="8" t="s">
        <v>95</v>
      </c>
      <c r="D12" s="8" t="s">
        <v>96</v>
      </c>
      <c r="E12" s="8" t="s">
        <v>102</v>
      </c>
      <c r="F12" s="8" t="s">
        <v>98</v>
      </c>
      <c r="G12" s="8" t="s">
        <v>99</v>
      </c>
      <c r="H12" s="8">
        <v>110</v>
      </c>
      <c r="I12" s="18" t="s">
        <v>72</v>
      </c>
      <c r="J12" s="8" t="s">
        <v>100</v>
      </c>
    </row>
    <row r="13" spans="1:10" x14ac:dyDescent="0.35">
      <c r="A13" s="2" t="s">
        <v>14</v>
      </c>
      <c r="B13" s="3" t="s">
        <v>103</v>
      </c>
      <c r="C13" s="3" t="s">
        <v>95</v>
      </c>
      <c r="D13" s="3" t="s">
        <v>104</v>
      </c>
      <c r="E13" s="3" t="s">
        <v>104</v>
      </c>
      <c r="F13" s="3" t="s">
        <v>104</v>
      </c>
      <c r="G13" s="3" t="s">
        <v>105</v>
      </c>
      <c r="H13" s="3">
        <v>4096</v>
      </c>
      <c r="I13" s="20" t="s">
        <v>73</v>
      </c>
      <c r="J13" s="3" t="s">
        <v>100</v>
      </c>
    </row>
    <row r="14" spans="1:10" x14ac:dyDescent="0.35">
      <c r="A14" s="7" t="s">
        <v>21</v>
      </c>
      <c r="B14" s="8" t="s">
        <v>106</v>
      </c>
      <c r="C14" s="8" t="s">
        <v>95</v>
      </c>
      <c r="D14" s="8" t="s">
        <v>96</v>
      </c>
      <c r="E14" s="8" t="s">
        <v>107</v>
      </c>
      <c r="F14" s="8" t="s">
        <v>108</v>
      </c>
      <c r="G14" s="8" t="s">
        <v>99</v>
      </c>
      <c r="H14" s="8">
        <v>100</v>
      </c>
      <c r="I14" s="21" t="s">
        <v>73</v>
      </c>
      <c r="J14" s="8" t="s">
        <v>100</v>
      </c>
    </row>
    <row r="15" spans="1:10" x14ac:dyDescent="0.35">
      <c r="A15" s="2" t="s">
        <v>21</v>
      </c>
      <c r="B15" s="3" t="s">
        <v>109</v>
      </c>
      <c r="C15" s="3" t="s">
        <v>95</v>
      </c>
      <c r="D15" s="3" t="s">
        <v>96</v>
      </c>
      <c r="E15" s="3" t="s">
        <v>110</v>
      </c>
      <c r="F15" s="3" t="s">
        <v>98</v>
      </c>
      <c r="G15" s="3" t="s">
        <v>105</v>
      </c>
      <c r="H15" s="3">
        <v>200</v>
      </c>
      <c r="I15" s="13" t="s">
        <v>71</v>
      </c>
      <c r="J15" s="3" t="s">
        <v>100</v>
      </c>
    </row>
    <row r="16" spans="1:10" x14ac:dyDescent="0.35">
      <c r="A16" s="7" t="s">
        <v>21</v>
      </c>
      <c r="B16" s="8" t="s">
        <v>111</v>
      </c>
      <c r="C16" s="8" t="s">
        <v>95</v>
      </c>
      <c r="D16" s="8" t="s">
        <v>96</v>
      </c>
      <c r="E16" s="8" t="s">
        <v>112</v>
      </c>
      <c r="F16" s="8" t="s">
        <v>113</v>
      </c>
      <c r="G16" s="8" t="s">
        <v>99</v>
      </c>
      <c r="H16" s="8">
        <v>150</v>
      </c>
      <c r="I16" s="21" t="s">
        <v>73</v>
      </c>
      <c r="J16" s="8" t="s">
        <v>100</v>
      </c>
    </row>
    <row r="17" spans="1:10" x14ac:dyDescent="0.35">
      <c r="A17" s="2" t="s">
        <v>24</v>
      </c>
      <c r="B17" s="3" t="s">
        <v>114</v>
      </c>
      <c r="C17" s="3" t="s">
        <v>95</v>
      </c>
      <c r="D17" s="3" t="s">
        <v>96</v>
      </c>
      <c r="E17" s="3" t="s">
        <v>115</v>
      </c>
      <c r="F17" s="3" t="s">
        <v>116</v>
      </c>
      <c r="G17" s="3" t="s">
        <v>99</v>
      </c>
      <c r="H17" s="3">
        <v>100</v>
      </c>
      <c r="I17" s="16" t="s">
        <v>72</v>
      </c>
      <c r="J17" s="3" t="s">
        <v>100</v>
      </c>
    </row>
    <row r="18" spans="1:10" x14ac:dyDescent="0.35">
      <c r="A18" s="7" t="s">
        <v>24</v>
      </c>
      <c r="B18" s="8" t="s">
        <v>117</v>
      </c>
      <c r="C18" s="8" t="s">
        <v>95</v>
      </c>
      <c r="D18" s="8" t="s">
        <v>96</v>
      </c>
      <c r="E18" s="8" t="s">
        <v>118</v>
      </c>
      <c r="F18" s="8" t="s">
        <v>119</v>
      </c>
      <c r="G18" s="8" t="s">
        <v>99</v>
      </c>
      <c r="H18" s="8">
        <v>110</v>
      </c>
      <c r="I18" s="21" t="s">
        <v>73</v>
      </c>
      <c r="J18" s="8" t="s">
        <v>100</v>
      </c>
    </row>
  </sheetData>
  <mergeCells count="3">
    <mergeCell ref="A1:J1"/>
    <mergeCell ref="A9:J9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showGridLines="0" workbookViewId="0"/>
  </sheetViews>
  <sheetFormatPr defaultRowHeight="14.5" x14ac:dyDescent="0.35"/>
  <cols>
    <col min="1" max="1" width="26" customWidth="1"/>
    <col min="2" max="4" width="12" customWidth="1"/>
    <col min="5" max="5" width="10" customWidth="1"/>
    <col min="6" max="7" width="12" customWidth="1"/>
    <col min="8" max="8" width="10" customWidth="1"/>
    <col min="9" max="9" width="12" customWidth="1"/>
  </cols>
  <sheetData>
    <row r="1" spans="1:9" ht="30" customHeight="1" x14ac:dyDescent="0.35">
      <c r="A1" s="33" t="s">
        <v>120</v>
      </c>
      <c r="B1" s="30"/>
      <c r="C1" s="30"/>
      <c r="D1" s="30"/>
      <c r="E1" s="30"/>
      <c r="F1" s="30"/>
      <c r="G1" s="30"/>
      <c r="H1" s="30"/>
      <c r="I1" s="30"/>
    </row>
    <row r="3" spans="1:9" x14ac:dyDescent="0.35">
      <c r="A3" s="34" t="s">
        <v>121</v>
      </c>
      <c r="B3" s="30"/>
      <c r="C3" s="30"/>
      <c r="D3" s="30"/>
      <c r="E3" s="30"/>
      <c r="F3" s="30"/>
      <c r="G3" s="30"/>
      <c r="H3" s="30"/>
      <c r="I3" s="30"/>
    </row>
    <row r="4" spans="1:9" x14ac:dyDescent="0.35">
      <c r="A4" s="12" t="s">
        <v>2</v>
      </c>
      <c r="B4" s="12" t="s">
        <v>3</v>
      </c>
      <c r="C4" s="12" t="s">
        <v>122</v>
      </c>
      <c r="D4" s="12" t="s">
        <v>12</v>
      </c>
      <c r="E4" s="12" t="s">
        <v>123</v>
      </c>
      <c r="F4" s="12" t="s">
        <v>124</v>
      </c>
      <c r="G4" s="12" t="s">
        <v>125</v>
      </c>
      <c r="H4" s="12" t="s">
        <v>126</v>
      </c>
      <c r="I4" s="12" t="s">
        <v>127</v>
      </c>
    </row>
    <row r="5" spans="1:9" x14ac:dyDescent="0.35">
      <c r="A5" s="2" t="s">
        <v>14</v>
      </c>
      <c r="B5" s="3" t="s">
        <v>15</v>
      </c>
      <c r="C5" s="3" t="s">
        <v>128</v>
      </c>
      <c r="D5" s="3" t="s">
        <v>20</v>
      </c>
      <c r="E5" s="3" t="s">
        <v>129</v>
      </c>
      <c r="F5" s="3" t="s">
        <v>130</v>
      </c>
      <c r="G5" s="3" t="s">
        <v>71</v>
      </c>
      <c r="H5" s="3" t="s">
        <v>131</v>
      </c>
      <c r="I5" s="4" t="s">
        <v>132</v>
      </c>
    </row>
    <row r="6" spans="1:9" x14ac:dyDescent="0.35">
      <c r="A6" s="7" t="s">
        <v>21</v>
      </c>
      <c r="B6" s="8" t="s">
        <v>15</v>
      </c>
      <c r="C6" s="8" t="s">
        <v>133</v>
      </c>
      <c r="D6" s="8" t="s">
        <v>23</v>
      </c>
      <c r="E6" s="8" t="s">
        <v>129</v>
      </c>
      <c r="F6" s="8" t="s">
        <v>134</v>
      </c>
      <c r="G6" s="14" t="s">
        <v>70</v>
      </c>
      <c r="H6" s="8" t="s">
        <v>135</v>
      </c>
      <c r="I6" s="9" t="s">
        <v>132</v>
      </c>
    </row>
    <row r="7" spans="1:9" x14ac:dyDescent="0.35">
      <c r="A7" s="2" t="s">
        <v>24</v>
      </c>
      <c r="B7" s="3" t="s">
        <v>25</v>
      </c>
      <c r="C7" s="3" t="s">
        <v>136</v>
      </c>
      <c r="D7" s="3" t="s">
        <v>29</v>
      </c>
      <c r="E7" s="3" t="s">
        <v>137</v>
      </c>
      <c r="F7" s="3" t="s">
        <v>138</v>
      </c>
      <c r="G7" s="3" t="s">
        <v>73</v>
      </c>
      <c r="H7" s="3" t="s">
        <v>139</v>
      </c>
      <c r="I7" s="16" t="s">
        <v>140</v>
      </c>
    </row>
    <row r="9" spans="1:9" ht="18" customHeight="1" x14ac:dyDescent="0.35">
      <c r="A9" s="34" t="s">
        <v>141</v>
      </c>
      <c r="B9" s="30"/>
      <c r="C9" s="30"/>
      <c r="D9" s="30"/>
      <c r="E9" s="30"/>
      <c r="F9" s="30"/>
      <c r="G9" s="30"/>
      <c r="H9" s="30"/>
      <c r="I9" s="30"/>
    </row>
    <row r="10" spans="1:9" ht="23" x14ac:dyDescent="0.35">
      <c r="A10" s="12" t="s">
        <v>142</v>
      </c>
      <c r="B10" s="12" t="s">
        <v>143</v>
      </c>
      <c r="C10" s="12" t="s">
        <v>144</v>
      </c>
      <c r="D10" s="12" t="s">
        <v>145</v>
      </c>
      <c r="E10" s="12" t="s">
        <v>146</v>
      </c>
      <c r="F10" s="12" t="s">
        <v>147</v>
      </c>
      <c r="G10" s="12" t="s">
        <v>148</v>
      </c>
      <c r="H10" s="12" t="s">
        <v>78</v>
      </c>
      <c r="I10" s="12" t="s">
        <v>149</v>
      </c>
    </row>
    <row r="11" spans="1:9" x14ac:dyDescent="0.35">
      <c r="A11" s="2" t="s">
        <v>150</v>
      </c>
      <c r="B11" s="2" t="s">
        <v>151</v>
      </c>
      <c r="C11" s="3" t="s">
        <v>152</v>
      </c>
      <c r="D11" s="4" t="s">
        <v>153</v>
      </c>
      <c r="E11" s="4" t="s">
        <v>153</v>
      </c>
      <c r="F11" s="4" t="s">
        <v>153</v>
      </c>
      <c r="G11" s="3">
        <v>3</v>
      </c>
      <c r="H11" s="4">
        <v>3</v>
      </c>
      <c r="I11" s="3">
        <v>0</v>
      </c>
    </row>
    <row r="12" spans="1:9" x14ac:dyDescent="0.35">
      <c r="A12" s="7" t="s">
        <v>154</v>
      </c>
      <c r="B12" s="7" t="s">
        <v>151</v>
      </c>
      <c r="C12" s="8" t="s">
        <v>152</v>
      </c>
      <c r="D12" s="9" t="s">
        <v>153</v>
      </c>
      <c r="E12" s="9" t="s">
        <v>153</v>
      </c>
      <c r="F12" s="9" t="s">
        <v>153</v>
      </c>
      <c r="G12" s="8">
        <v>3</v>
      </c>
      <c r="H12" s="9">
        <v>3</v>
      </c>
      <c r="I12" s="8">
        <v>0</v>
      </c>
    </row>
    <row r="13" spans="1:9" x14ac:dyDescent="0.35">
      <c r="A13" s="2" t="s">
        <v>155</v>
      </c>
      <c r="B13" s="2" t="s">
        <v>156</v>
      </c>
      <c r="C13" s="3" t="s">
        <v>152</v>
      </c>
      <c r="D13" s="4" t="s">
        <v>153</v>
      </c>
      <c r="E13" s="4" t="s">
        <v>153</v>
      </c>
      <c r="F13" s="13" t="s">
        <v>157</v>
      </c>
      <c r="G13" s="3">
        <v>3</v>
      </c>
      <c r="H13" s="4">
        <v>2</v>
      </c>
      <c r="I13" s="13">
        <v>1</v>
      </c>
    </row>
    <row r="14" spans="1:9" x14ac:dyDescent="0.35">
      <c r="A14" s="7" t="s">
        <v>158</v>
      </c>
      <c r="B14" s="7" t="s">
        <v>151</v>
      </c>
      <c r="C14" s="8" t="s">
        <v>152</v>
      </c>
      <c r="D14" s="9" t="s">
        <v>153</v>
      </c>
      <c r="E14" s="9" t="s">
        <v>153</v>
      </c>
      <c r="F14" s="9" t="s">
        <v>153</v>
      </c>
      <c r="G14" s="8">
        <v>3</v>
      </c>
      <c r="H14" s="9">
        <v>3</v>
      </c>
      <c r="I14" s="8">
        <v>0</v>
      </c>
    </row>
    <row r="15" spans="1:9" x14ac:dyDescent="0.35">
      <c r="A15" s="2" t="s">
        <v>159</v>
      </c>
      <c r="B15" s="2" t="s">
        <v>151</v>
      </c>
      <c r="C15" s="3" t="s">
        <v>152</v>
      </c>
      <c r="D15" s="4" t="s">
        <v>153</v>
      </c>
      <c r="E15" s="4" t="s">
        <v>153</v>
      </c>
      <c r="F15" s="13" t="s">
        <v>157</v>
      </c>
      <c r="G15" s="3">
        <v>3</v>
      </c>
      <c r="H15" s="4">
        <v>2</v>
      </c>
      <c r="I15" s="13">
        <v>1</v>
      </c>
    </row>
    <row r="16" spans="1:9" x14ac:dyDescent="0.35">
      <c r="A16" s="7" t="s">
        <v>160</v>
      </c>
      <c r="B16" s="7" t="s">
        <v>151</v>
      </c>
      <c r="C16" s="8" t="s">
        <v>161</v>
      </c>
      <c r="D16" s="9" t="s">
        <v>153</v>
      </c>
      <c r="E16" s="14" t="s">
        <v>157</v>
      </c>
      <c r="F16" s="9" t="s">
        <v>153</v>
      </c>
      <c r="G16" s="8">
        <v>3</v>
      </c>
      <c r="H16" s="9">
        <v>2</v>
      </c>
      <c r="I16" s="14">
        <v>1</v>
      </c>
    </row>
    <row r="17" spans="1:9" x14ac:dyDescent="0.35">
      <c r="A17" s="2" t="s">
        <v>162</v>
      </c>
      <c r="B17" s="2" t="s">
        <v>156</v>
      </c>
      <c r="C17" s="3" t="s">
        <v>152</v>
      </c>
      <c r="D17" s="4" t="s">
        <v>153</v>
      </c>
      <c r="E17" s="4" t="s">
        <v>153</v>
      </c>
      <c r="F17" s="13" t="s">
        <v>157</v>
      </c>
      <c r="G17" s="3">
        <v>3</v>
      </c>
      <c r="H17" s="4">
        <v>2</v>
      </c>
      <c r="I17" s="13">
        <v>1</v>
      </c>
    </row>
    <row r="18" spans="1:9" x14ac:dyDescent="0.35">
      <c r="A18" s="7" t="s">
        <v>163</v>
      </c>
      <c r="B18" s="7" t="s">
        <v>151</v>
      </c>
      <c r="C18" s="8" t="s">
        <v>152</v>
      </c>
      <c r="D18" s="9" t="s">
        <v>153</v>
      </c>
      <c r="E18" s="9" t="s">
        <v>153</v>
      </c>
      <c r="F18" s="9" t="s">
        <v>153</v>
      </c>
      <c r="G18" s="8">
        <v>3</v>
      </c>
      <c r="H18" s="9">
        <v>3</v>
      </c>
      <c r="I18" s="8">
        <v>0</v>
      </c>
    </row>
    <row r="21" spans="1:9" ht="18" customHeight="1" x14ac:dyDescent="0.35">
      <c r="A21" s="34" t="s">
        <v>164</v>
      </c>
      <c r="B21" s="30"/>
      <c r="C21" s="30"/>
      <c r="D21" s="30"/>
      <c r="E21" s="30"/>
      <c r="F21" s="30"/>
      <c r="G21" s="30"/>
      <c r="H21" s="30"/>
      <c r="I21" s="30"/>
    </row>
    <row r="22" spans="1:9" x14ac:dyDescent="0.35">
      <c r="A22" s="12" t="s">
        <v>2</v>
      </c>
      <c r="B22" s="12" t="s">
        <v>165</v>
      </c>
      <c r="C22" s="12" t="s">
        <v>166</v>
      </c>
      <c r="D22" s="12" t="s">
        <v>167</v>
      </c>
      <c r="E22" s="12" t="s">
        <v>168</v>
      </c>
      <c r="F22" s="12" t="s">
        <v>169</v>
      </c>
      <c r="G22" s="12" t="s">
        <v>170</v>
      </c>
      <c r="H22" s="12" t="s">
        <v>171</v>
      </c>
      <c r="I22" s="12" t="s">
        <v>172</v>
      </c>
    </row>
    <row r="23" spans="1:9" x14ac:dyDescent="0.35">
      <c r="A23" s="2" t="s">
        <v>14</v>
      </c>
      <c r="B23" s="6">
        <v>220</v>
      </c>
      <c r="C23" s="6">
        <v>45</v>
      </c>
      <c r="D23" s="6">
        <v>28</v>
      </c>
      <c r="E23" s="6">
        <v>15</v>
      </c>
      <c r="F23" s="6">
        <v>10</v>
      </c>
      <c r="G23" s="22">
        <f>SUM(B23:F23)</f>
        <v>318</v>
      </c>
      <c r="H23" s="6">
        <v>360</v>
      </c>
      <c r="I23" s="23">
        <f>G23-H23</f>
        <v>-42</v>
      </c>
    </row>
    <row r="24" spans="1:9" x14ac:dyDescent="0.35">
      <c r="A24" s="7" t="s">
        <v>21</v>
      </c>
      <c r="B24" s="11">
        <v>480</v>
      </c>
      <c r="C24" s="11">
        <v>160</v>
      </c>
      <c r="D24" s="11">
        <v>35</v>
      </c>
      <c r="E24" s="11">
        <v>25</v>
      </c>
      <c r="F24" s="11">
        <v>12</v>
      </c>
      <c r="G24" s="24">
        <f>SUM(B24:F24)</f>
        <v>712</v>
      </c>
      <c r="H24" s="11">
        <v>750</v>
      </c>
      <c r="I24" s="25">
        <f>G24-H24</f>
        <v>-38</v>
      </c>
    </row>
    <row r="25" spans="1:9" x14ac:dyDescent="0.35">
      <c r="A25" s="2" t="s">
        <v>24</v>
      </c>
      <c r="B25" s="6">
        <v>90</v>
      </c>
      <c r="C25" s="6">
        <v>28</v>
      </c>
      <c r="D25" s="6">
        <v>14</v>
      </c>
      <c r="E25" s="6">
        <v>6</v>
      </c>
      <c r="F25" s="6">
        <v>4</v>
      </c>
      <c r="G25" s="22">
        <f>SUM(B25:F25)</f>
        <v>142</v>
      </c>
      <c r="H25" s="6">
        <v>160</v>
      </c>
      <c r="I25" s="23">
        <f>G25-H25</f>
        <v>-18</v>
      </c>
    </row>
  </sheetData>
  <mergeCells count="4">
    <mergeCell ref="A1:I1"/>
    <mergeCell ref="A9:I9"/>
    <mergeCell ref="A3:I3"/>
    <mergeCell ref="A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workbookViewId="0"/>
  </sheetViews>
  <sheetFormatPr defaultRowHeight="14.5" x14ac:dyDescent="0.35"/>
  <cols>
    <col min="1" max="1" width="14" customWidth="1"/>
    <col min="2" max="2" width="26" customWidth="1"/>
    <col min="3" max="3" width="20" customWidth="1"/>
    <col min="4" max="4" width="10" customWidth="1"/>
    <col min="5" max="5" width="45" customWidth="1"/>
    <col min="6" max="7" width="10" customWidth="1"/>
    <col min="8" max="8" width="25" customWidth="1"/>
  </cols>
  <sheetData>
    <row r="1" spans="1:8" ht="30" customHeight="1" x14ac:dyDescent="0.35">
      <c r="A1" s="33" t="s">
        <v>173</v>
      </c>
      <c r="B1" s="30"/>
      <c r="C1" s="30"/>
      <c r="D1" s="30"/>
      <c r="E1" s="30"/>
      <c r="F1" s="30"/>
      <c r="G1" s="30"/>
      <c r="H1" s="30"/>
    </row>
    <row r="3" spans="1:8" x14ac:dyDescent="0.35">
      <c r="A3" s="12" t="s">
        <v>32</v>
      </c>
      <c r="B3" s="12" t="s">
        <v>2</v>
      </c>
      <c r="C3" s="12" t="s">
        <v>174</v>
      </c>
      <c r="D3" s="12" t="s">
        <v>175</v>
      </c>
      <c r="E3" s="12" t="s">
        <v>176</v>
      </c>
      <c r="F3" s="12" t="s">
        <v>177</v>
      </c>
      <c r="G3" s="12" t="s">
        <v>74</v>
      </c>
      <c r="H3" s="12" t="s">
        <v>178</v>
      </c>
    </row>
    <row r="4" spans="1:8" x14ac:dyDescent="0.35">
      <c r="A4" s="3" t="s">
        <v>83</v>
      </c>
      <c r="B4" s="2" t="s">
        <v>21</v>
      </c>
      <c r="C4" s="2" t="s">
        <v>179</v>
      </c>
      <c r="D4" s="13" t="s">
        <v>70</v>
      </c>
      <c r="E4" s="2" t="s">
        <v>180</v>
      </c>
      <c r="F4" s="3" t="s">
        <v>181</v>
      </c>
      <c r="G4" s="4" t="s">
        <v>80</v>
      </c>
      <c r="H4" s="2" t="s">
        <v>182</v>
      </c>
    </row>
    <row r="5" spans="1:8" x14ac:dyDescent="0.35">
      <c r="A5" s="8" t="s">
        <v>79</v>
      </c>
      <c r="B5" s="7" t="s">
        <v>14</v>
      </c>
      <c r="C5" s="7" t="s">
        <v>183</v>
      </c>
      <c r="D5" s="18" t="s">
        <v>71</v>
      </c>
      <c r="E5" s="7" t="s">
        <v>184</v>
      </c>
      <c r="F5" s="8" t="s">
        <v>185</v>
      </c>
      <c r="G5" s="14" t="s">
        <v>84</v>
      </c>
      <c r="H5" s="7" t="s">
        <v>186</v>
      </c>
    </row>
    <row r="6" spans="1:8" x14ac:dyDescent="0.35">
      <c r="A6" s="3" t="s">
        <v>187</v>
      </c>
      <c r="B6" s="2" t="s">
        <v>24</v>
      </c>
      <c r="C6" s="2" t="s">
        <v>188</v>
      </c>
      <c r="D6" s="26" t="s">
        <v>72</v>
      </c>
      <c r="E6" s="2" t="s">
        <v>189</v>
      </c>
      <c r="F6" s="3" t="s">
        <v>190</v>
      </c>
      <c r="G6" s="4" t="s">
        <v>80</v>
      </c>
      <c r="H6" s="2" t="s">
        <v>191</v>
      </c>
    </row>
    <row r="7" spans="1:8" x14ac:dyDescent="0.35">
      <c r="A7" s="8" t="s">
        <v>82</v>
      </c>
      <c r="B7" s="7" t="s">
        <v>21</v>
      </c>
      <c r="C7" s="7" t="s">
        <v>192</v>
      </c>
      <c r="D7" s="18" t="s">
        <v>71</v>
      </c>
      <c r="E7" s="7" t="s">
        <v>193</v>
      </c>
      <c r="F7" s="8" t="s">
        <v>194</v>
      </c>
      <c r="G7" s="9" t="s">
        <v>80</v>
      </c>
      <c r="H7" s="7" t="s">
        <v>195</v>
      </c>
    </row>
    <row r="8" spans="1:8" x14ac:dyDescent="0.35">
      <c r="A8" s="3" t="s">
        <v>196</v>
      </c>
      <c r="B8" s="2" t="s">
        <v>14</v>
      </c>
      <c r="C8" s="2" t="s">
        <v>179</v>
      </c>
      <c r="D8" s="26" t="s">
        <v>72</v>
      </c>
      <c r="E8" s="2" t="s">
        <v>197</v>
      </c>
      <c r="F8" s="3" t="s">
        <v>198</v>
      </c>
      <c r="G8" s="4" t="s">
        <v>80</v>
      </c>
      <c r="H8" s="2" t="s">
        <v>199</v>
      </c>
    </row>
    <row r="9" spans="1:8" x14ac:dyDescent="0.35">
      <c r="A9" s="8" t="s">
        <v>200</v>
      </c>
      <c r="B9" s="7" t="s">
        <v>21</v>
      </c>
      <c r="C9" s="7" t="s">
        <v>201</v>
      </c>
      <c r="D9" s="18" t="s">
        <v>71</v>
      </c>
      <c r="E9" s="7" t="s">
        <v>202</v>
      </c>
      <c r="F9" s="8" t="s">
        <v>203</v>
      </c>
      <c r="G9" s="9" t="s">
        <v>80</v>
      </c>
      <c r="H9" s="7" t="s">
        <v>204</v>
      </c>
    </row>
    <row r="10" spans="1:8" x14ac:dyDescent="0.35">
      <c r="A10" s="3" t="s">
        <v>205</v>
      </c>
      <c r="B10" s="2" t="s">
        <v>24</v>
      </c>
      <c r="C10" s="2" t="s">
        <v>206</v>
      </c>
      <c r="D10" s="27" t="s">
        <v>73</v>
      </c>
      <c r="E10" s="2" t="s">
        <v>207</v>
      </c>
      <c r="F10" s="3" t="s">
        <v>208</v>
      </c>
      <c r="G10" s="4" t="s">
        <v>80</v>
      </c>
      <c r="H10" s="2" t="s">
        <v>209</v>
      </c>
    </row>
    <row r="11" spans="1:8" x14ac:dyDescent="0.35">
      <c r="A11" s="8" t="s">
        <v>210</v>
      </c>
      <c r="B11" s="7" t="s">
        <v>14</v>
      </c>
      <c r="C11" s="7" t="s">
        <v>211</v>
      </c>
      <c r="D11" s="28" t="s">
        <v>72</v>
      </c>
      <c r="E11" s="7" t="s">
        <v>212</v>
      </c>
      <c r="F11" s="8" t="s">
        <v>213</v>
      </c>
      <c r="G11" s="9" t="s">
        <v>80</v>
      </c>
      <c r="H11" s="7" t="s">
        <v>214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VM_Overview</vt:lpstr>
      <vt:lpstr>Monitoring_Timeseries</vt:lpstr>
      <vt:lpstr>Security</vt:lpstr>
      <vt:lpstr>Governance</vt:lpstr>
      <vt:lpstr>Alerts_Incidents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Oza, Y.O. (Yash)</cp:lastModifiedBy>
  <dcterms:created xsi:type="dcterms:W3CDTF">2026-05-21T15:09:32Z</dcterms:created>
  <dcterms:modified xsi:type="dcterms:W3CDTF">2026-05-21T15:33:24Z</dcterms:modified>
</cp:coreProperties>
</file>